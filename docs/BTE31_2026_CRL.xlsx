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mc:AlternateContent xmlns:mc="http://schemas.openxmlformats.org/markup-compatibility/2006">
    <mc:Choice Requires="x15">
      <x15ac:absPath xmlns:x15ac="http://schemas.microsoft.com/office/spreadsheetml/2010/11/ac" url="https://esocial.sharepoint.com/sites/CentrodeRelaesLaborais/Documentos Partilhados/Negociação Coletiva/Importacao_de_PDF_teste/"/>
    </mc:Choice>
  </mc:AlternateContent>
  <xr:revisionPtr revIDLastSave="30" documentId="13_ncr:1_{49B142CC-964B-4D03-8FDC-02F558D6BDDC}" xr6:coauthVersionLast="47" xr6:coauthVersionMax="47" xr10:uidLastSave="{DF5CA7D6-A14C-466A-9647-C6B5E9F43244}"/>
  <bookViews>
    <workbookView xWindow="-90" yWindow="0" windowWidth="19380" windowHeight="20970" xr2:uid="{EAF5C815-345F-4D59-9FFF-32DAB6EA270B}"/>
  </bookViews>
  <sheets>
    <sheet name="31" sheetId="1" r:id="rId1"/>
  </sheets>
  <definedNames>
    <definedName name="_xlnm._FilterDatabase" localSheetId="0" hidden="1">'31'!$A$1:$X$15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2" i="1" l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A2" i="1"/>
  <c r="U2" i="1" s="1"/>
  <c r="A3" i="1"/>
  <c r="U3" i="1" s="1"/>
  <c r="A4" i="1"/>
  <c r="U4" i="1" s="1"/>
  <c r="A5" i="1"/>
  <c r="U5" i="1" s="1"/>
  <c r="A6" i="1"/>
  <c r="U6" i="1" s="1"/>
  <c r="A7" i="1"/>
  <c r="U7" i="1" s="1"/>
  <c r="A8" i="1"/>
  <c r="U8" i="1" s="1"/>
  <c r="A9" i="1"/>
  <c r="U9" i="1" s="1"/>
  <c r="A10" i="1"/>
  <c r="U10" i="1" s="1"/>
  <c r="A11" i="1"/>
  <c r="U11" i="1" s="1"/>
  <c r="A12" i="1"/>
  <c r="U12" i="1" s="1"/>
  <c r="A13" i="1"/>
  <c r="U13" i="1" s="1"/>
  <c r="A14" i="1"/>
  <c r="U14" i="1" s="1"/>
  <c r="A15" i="1"/>
  <c r="U15" i="1" s="1"/>
</calcChain>
</file>

<file path=xl/sharedStrings.xml><?xml version="1.0" encoding="utf-8"?>
<sst xmlns="http://schemas.openxmlformats.org/spreadsheetml/2006/main" count="124" uniqueCount="98">
  <si>
    <t>Ano</t>
  </si>
  <si>
    <t>IDDocumento</t>
  </si>
  <si>
    <t>Titulo</t>
  </si>
  <si>
    <t>TipoSubTipoDoc</t>
  </si>
  <si>
    <t>NVolumeBTE</t>
  </si>
  <si>
    <t>NBTE</t>
  </si>
  <si>
    <t>DataBTE</t>
  </si>
  <si>
    <t>DataDistribuicaoBTE</t>
  </si>
  <si>
    <t>PagVersaoEscrita</t>
  </si>
  <si>
    <t>CAE</t>
  </si>
  <si>
    <t>CodigoGEPDGERT</t>
  </si>
  <si>
    <t>DocumentosEmVigor</t>
  </si>
  <si>
    <t>LinkDocEmVigor</t>
  </si>
  <si>
    <t>DocAlteradosPorEste</t>
  </si>
  <si>
    <t>DocAlteradosPorEste2</t>
  </si>
  <si>
    <t>DocAlteramEste</t>
  </si>
  <si>
    <t>SetoresAtividade</t>
  </si>
  <si>
    <t>Outorgantes</t>
  </si>
  <si>
    <t>FormulaPDF</t>
  </si>
  <si>
    <t>NomePDF</t>
  </si>
  <si>
    <t>URLPDF</t>
  </si>
  <si>
    <t>377/2026</t>
  </si>
  <si>
    <t>Contrato coletivo entre a Associação do Comércio e Serviços da Região do Algarve - ACRAL e o CESP - Sindicato dos Trabalhadores do Comércio, Escritórios e Serviços de Portugal e outros - Revisão global.</t>
  </si>
  <si>
    <t>CCT</t>
  </si>
  <si>
    <t>31</t>
  </si>
  <si>
    <t>CCT-ALT.20250708.321/2025</t>
  </si>
  <si>
    <t>COMÉRCIO. FARO; COMÉRCIO A RETALHO; EDIÇÃO DE OUTROS PROGRAMAS INFORMÁTICOS; ATIVIDADES DE PROGRAMAÇÃO INFORMÁTICA; ATIVIDADES VETERINÁRIAS; ATIVIDADES DE SERVIÇOS ADMINISTRATIVOS E DE APOIO; ORGANIZAÇÃO E EXPLORAÇÃO DE LOTARIAS E OUTROS JOGOS DE APOSTA; ATIVIDADES DOS CENTROS DE MANUTENÇÃO FÍSICA; REPARAÇÃO E MANUTENÇÃO DE COMPUTADORES E DE EQUIPAMENTO PERIFÉRICO; ATIVIDADES DE SALÕES DE CABELEIREIRO E BARBEIROS; ATIVIDADES DE CUIDADOS DE BELEZA E OUTRAS ATIVIDADES DE TRATAMENTOS DE BELEZA; ATIVIDADES FUNERÁRIAS E CONEXAS</t>
  </si>
  <si>
    <t>Associação do Comércio e Serviços da Região do Algarve - ACRAL; CESP - Sindicato dos Trabalhadores do Comércio, Escritórios e Serviços de Portugal; STRUP - Sindicato dos Trabalhadores de Transportes Rodoviários e Urbanos de Portugal; Sindicato das Indústrias Eléctricas do Sul e Ilhas - SIESI; Sindicato Nacional dos Trabalhadores das Telecomunicações e Audiovisual - SINTTAV</t>
  </si>
  <si>
    <t>378/2026</t>
  </si>
  <si>
    <t>Contrato coletivo entre a Confederação Nacional das Instituições de Solidariedade - CNIS e a Federação Nacional dos Sindicatos dos Trabalhadores em Funções Públicas e Sociais - FNSTFPS - Alteração.</t>
  </si>
  <si>
    <t>CCT-ALT</t>
  </si>
  <si>
    <t>BTE 39, 22/10/2025, pág. 11 (442/2025) e BTE 21, 08/06/2026, pág. 51 (239/2026)</t>
  </si>
  <si>
    <t>CCT-ALT.20260608.239/2026</t>
  </si>
  <si>
    <t>INSTITUIÇÕES PARTICULARES DE SOLIDARIEDADE SOCIAL; ABONO PARA FALHAS; SUBSÍDIO DE REFEIÇÃO</t>
  </si>
  <si>
    <t>Confederação Nacional das Instituições de Solidariedade - CNIS; Federação Nacional dos Sindicatos dos Trabalhadores em Funções Públicas e Sociais - FNSTFPS</t>
  </si>
  <si>
    <t>379/2026</t>
  </si>
  <si>
    <t>Contrato coletivo entre a Associação das Empresas de Vinho do Porto (AEVP) e a FESAHT - Federação dos Sindicatos da Agricultura, Alimentação, Bebidas, Hotelaria e Turismo de Portugal (administrativos) - Alteração salarial e outra.</t>
  </si>
  <si>
    <t>BTE 3, 22/01/2025, pág. 21 (16/2025)</t>
  </si>
  <si>
    <t>CCT-ALT.20251209.520/2025</t>
  </si>
  <si>
    <t>VINHOS E BEBIDAS ESPIRITUOSAS; VITICULTURA; PRODUÇÃO DE VINHOS COMUNS E LICOROSOS; COMÉRCIO POR GROSSO DE BEBIDAS ALCOÓLICAS; REMUNERAÇÕES; SUBSÍDIO DE REFEIÇÃO</t>
  </si>
  <si>
    <t>Associação das Empresas de Vinho do Porto (AEVP); FESAHT - Federação dos Sindicatos da Agricultura, Alimentação, Bebidas, Hotelaria e Turismo de Portugal</t>
  </si>
  <si>
    <t>380/2026</t>
  </si>
  <si>
    <t>Contrato coletivo entre a Associação das Empresas de Vinho do Porto (AEVP) e a FESAHT - Federação dos Sindicatos da Agricultura, Alimentação, Bebidas, Hotelaria e Turismo de Portugal (armazéns) - Alteração salarial e outras.</t>
  </si>
  <si>
    <t>BTE 3, 22/01/2025, pág. 40 (17/2025)</t>
  </si>
  <si>
    <t>CCT-ALT.20251209.521/2025</t>
  </si>
  <si>
    <t>VINHOS E BEBIDAS ESPIRITUOSAS; VITICULTURA; PRODUÇÃO DE VINHOS COMUNS E LICOROSOS; COMÉRCIO POR GROSSO DE BEBIDAS ALCOÓLICAS; REMUNERAÇÕES; SUBSÍDIO DE REFEIÇÃO; AJUDAS DE CUSTO</t>
  </si>
  <si>
    <t>381/2026</t>
  </si>
  <si>
    <t>Contrato coletivo entre a Associação Comercial, Industrial e Serviços de Barcelos e do Vale do Cávado - ACIBARCELOS e outra e o Sindicato Independente dos Trabalhadores do Sector Empresarial da Cerâmica, dos Cimentos, do Vidro e Actividades Conexas dos Distritos de Braga, Porto e Viana do Castelo - Alteração salarial e outra/texto consolidado.</t>
  </si>
  <si>
    <t>CCT-ALT.20250708.317/2025</t>
  </si>
  <si>
    <t>CERÂMICA REGIONAL; OLARIA DE BARRO</t>
  </si>
  <si>
    <t>Associação Comercial, Industrial e Serviços de Barcelos e do Vale do Cávado - ACIBARCELOS; AEDVC - Associação Empresarial do Distrito de Viana do Castelo; Sindicato Independente dos Trabalhadores do Sector Empresarial da Cerâmica, dos Cimentos, do Vidro e Actividades Conexas dos Distritos de Braga, Porto e Viana do Castelo</t>
  </si>
  <si>
    <t>382/2026</t>
  </si>
  <si>
    <t>Acordo de empresa entre a Empresa Metropolitana de Estacionamento da Maia, EM e o Sindicato dos Trabalhadores da Administração Pública e de Entidades com Fins Públicos - SINTAP - Revisão global.</t>
  </si>
  <si>
    <t>AE</t>
  </si>
  <si>
    <t>AE.20230308.76/2023</t>
  </si>
  <si>
    <t>ACTIVIDADES AUXILIARES DOS TRANSPORTES TERRESTRES; OUTRAS ATIVIDADES AUXILIARES DOS TRANSPORTES TERRESTRES</t>
  </si>
  <si>
    <t>Empresa Metropolitana de Estacionamento da Maia, EM; Sindicato dos Trabalhadores da Administração Pública e de Entidades com Fins Públicos - SINTAP</t>
  </si>
  <si>
    <t>383/2026</t>
  </si>
  <si>
    <t>Acordo de empresa entre a IBERCOURIER - Serviço de Transporte Urgente, Unipessoal L.da e o Sindicato Nacional dos Trabalhadores dos Correios e Telecomunicações (SNTCT).</t>
  </si>
  <si>
    <t>TRANSPORTES TERRESTRES; OUTRAS ATIVIDADES POSTAIS E DE CORREIOS, EXCETO ENTREGAS AO DOMICÍLIO SEM TRATAMENTO OU TRIAGEM</t>
  </si>
  <si>
    <t>IBERCOURIER - Serviço de Transporte Urgente, Unipessoal L.da; Sindicato Nacional dos Trabalhadores dos Correios e Telecomunicações (SNTCT)</t>
  </si>
  <si>
    <t>384/2026</t>
  </si>
  <si>
    <t>Acordo de empresa entre a AWP P&amp;C, SA - Sucursal em Portugal e o Sindicato dos Trabalhadores da Actividade Seguradora (STAS) - Alteração salarial e outras.</t>
  </si>
  <si>
    <t>AE-ALT</t>
  </si>
  <si>
    <t>BTE 41, 08/11/2024, pág. 118 (486/2024) e BTE 20, 29/05/2025, pág. 120 (253/2025)</t>
  </si>
  <si>
    <t>AE-ALT.20250529.253/2025</t>
  </si>
  <si>
    <t>SEGUROS; RESSEGUROS; REMUNERAÇÕES; ESTÁGIO PROFISSIONAL; PROMOÇÃO PROFISSIONAL; TELETRABALHO; PRÉMIO DE PERCURSO; SUBSÍDIO DE TRANSPORTE; SUBSÍDIO ESCOLAR; CATEGORIA PROFISSIONAL; DEFINIÇÃO DE FUNÇÕES; SUBSÍDIO DE REFEIÇÃO</t>
  </si>
  <si>
    <t>AWP P&amp;C, SA - Sucursal em Portugal; Sindicato dos Trabalhadores da Actividade Seguradora (STAS)</t>
  </si>
  <si>
    <t>385/2026</t>
  </si>
  <si>
    <t>Acordo de empresa entre a AP Solutions GMBH - Sucursal em Portugal e o Sindicato dos Trabalhadores da Actividade Seguradora (STAS) - Alteração salarial e outras.</t>
  </si>
  <si>
    <t>BTE 4, 29/01/2025, pág. 244 (33/2025) e BTE 19, 22/05/2025, pág. 126 (247/2025)</t>
  </si>
  <si>
    <t>AE-ALT.20250522.247/2025</t>
  </si>
  <si>
    <t>SEGUROS; ATIVIDADES DOS CENTROS DE CHAMADAS; ATIVIDADES DE CONSULTORIA PARA OS NEGÓCIOS E OUTRA CONSULTORIA PARA A GESTÃO; REMUNERAÇÕES; ESTÁGIO PROFISSIONAL; PROMOÇÃO PROFISSIONAL; TELETRABALHO; PRÉMIO DE PERCURSO; SUBSÍDIO DE TRANSPORTE; SUBSÍDIO ESCOLAR; CATEGORIA PROFISSIONAL; DEFINIÇÃO DE FUNÇÕES; SUBSÍDIO DE REFEIÇÃO</t>
  </si>
  <si>
    <t>AP Solutions GMBH - Sucursal em Portugal; Sindicato dos Trabalhadores da Actividade Seguradora (STAS)</t>
  </si>
  <si>
    <t>386/2026</t>
  </si>
  <si>
    <t>Acordo de empresa entre a COPEFAP - Cooperativa de Ensino, CRL e o Sindicato dos Professores da Grande Lisboa - SPGL e outros - Alteração salarial e outras.</t>
  </si>
  <si>
    <t>BTE 23, 22/06/2025, pág. 252 (301/2025)</t>
  </si>
  <si>
    <t>AE-ALT.20250623.301/2025</t>
  </si>
  <si>
    <t>FORMAÇÃO PROFISSIONAL; REMUNERAÇÕES; SUBSÍDIO DE FUNÇÃO; SUBSÍDIO DE REFEIÇÃO</t>
  </si>
  <si>
    <t>COPEFAP - Cooperativa de Ensino, CRL; Sindicato dos Professores da Grande Lisboa - SPGL; CESP - Sindicato dos Trabalhadores do Comércio, Escritórios e Serviços de Portugal; Sindicato Nacional dos Psicólogos</t>
  </si>
  <si>
    <t>387/2026</t>
  </si>
  <si>
    <t>Acordo de empresa entre a CARRISTUR - Inovação em Transportes Urbanos e Regionais, Sociedade Unipessoal L.da e a Associação Sindical dos Trabalhadores da Carris e Participadas, (ASPTC) - Retificação.</t>
  </si>
  <si>
    <t>AE-ALT-RECT</t>
  </si>
  <si>
    <t>BTE 27, 22/07/2026, pág. 222 (323/2026)</t>
  </si>
  <si>
    <t>AE-ALT.20260722.323/2026</t>
  </si>
  <si>
    <t>TRANSPORTES TERRESTRES; TRANSPORTE RODOVIÁRIO REGULAR, URBANO E SUBURBANO DE PASSAGEIROS; ESCOLAS DE CONDUÇÃO E PILOTAGEM; ORGANIZAÇÃO DE ATIVIDADES DE ANIMAÇÃO TURÍSTICA</t>
  </si>
  <si>
    <t>388/2026</t>
  </si>
  <si>
    <t>Acordo de empresa entre a CARRISTUR - Inovação em Transportes Urbanos e Regionais, Sociedade Unipessoal L.da e a Federação dos Sindicatos de Transportes e Comunicações - FECTRANS - Retificação.</t>
  </si>
  <si>
    <t>BTE 27, 22/07/2026, pág. 228 (324/2026)</t>
  </si>
  <si>
    <t>AE-ALT.20260722.324/2026</t>
  </si>
  <si>
    <t>389/2026</t>
  </si>
  <si>
    <t>Acordo de empresa entre a CARRISTUR - Inovação em Transportes Urbanos e Regionais, Sociedade Unipessoal L.da e o Sindicato dos Trabalhadores dos Transportes - SITRA - Retificação.</t>
  </si>
  <si>
    <t>BTE 27, 22/07/2026, pág. 235 (325/2026)</t>
  </si>
  <si>
    <t>AE-ALT.20260722.325/2026</t>
  </si>
  <si>
    <t>390/2026</t>
  </si>
  <si>
    <t>Acordo de empresa entre a CARRISTUR - Inovação em Transportes Urbanos e Regionais, Sociedade Unipessoal L.da e o Sindicato Nacional dos Motoristas e Outros Trabalhadores - SNMOT - Retificação.</t>
  </si>
  <si>
    <t>BTE 27, 22/07/2026, pág. 241 (326/2026)</t>
  </si>
  <si>
    <t>AE-ALT.20260722.326/2026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</si>
</sst>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&quot;.pdf&quot;"/>
  </numFmts>
  <fonts count="4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name val="Arial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17" fontId="2" fillId="0" borderId="0" xfId="0" applyNumberFormat="1" applyFont="1"/>
    <xf numFmtId="0" fontId="2" fillId="0" borderId="0" xfId="0" applyFont="1" applyAlignment="1">
      <alignment horizontal="left"/>
    </xf>
    <xf numFmtId="0" fontId="2" fillId="0" borderId="0" xfId="0" applyFont="1"/>
    <xf numFmtId="49" fontId="2" fillId="0" borderId="0" xfId="0" applyNumberFormat="1" applyFont="1" applyAlignment="1">
      <alignment horizontal="right"/>
    </xf>
    <xf numFmtId="14" fontId="2" fillId="0" borderId="0" xfId="0" applyNumberFormat="1" applyFont="1"/>
    <xf numFmtId="0" fontId="2" fillId="0" borderId="0" xfId="0" applyFont="1" applyAlignment="1">
      <alignment horizontal="right"/>
    </xf>
    <xf numFmtId="49" fontId="2" fillId="0" borderId="0" xfId="0" applyNumberFormat="1" applyFont="1"/>
    <xf numFmtId="164" fontId="2" fillId="0" borderId="0" xfId="0" applyNumberFormat="1" applyFont="1"/>
    <xf numFmtId="0" fontId="3" fillId="0" borderId="0" xfId="1"/>
    <xf numFmtId="0" fontId="1" fillId="0" borderId="0" xfId="0" applyFont="1" applyAlignment="1">
      <alignment horizontal="right"/>
    </xf>
    <xf numFmtId="0" fontId="1" fillId="0" borderId="0" xfId="0" applyFont="1"/>
  </cellXfs>
  <cellStyles count="2">
    <cellStyle name="Hyperlink" xfId="1" builtinId="8"/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0000000&quot;.pdf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2" formatCode="mmm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8A7AD2-C282-4568-8A0D-E45FC20C00B8}" name="tblBTE31" displayName="tblBTE31" ref="A1:U15" totalsRowShown="0" headerRowBorderDxfId="14" tableBorderDxfId="15">
  <autoFilter ref="A1:U15" xr:uid="{998A7AD2-C282-4568-8A0D-E45FC20C00B8}"/>
  <tableColumns count="21">
    <tableColumn id="1" xr3:uid="{A968CFB8-0C18-4798-93E9-6881233C4867}" name="Ano" dataDxfId="13">
      <calculatedColumnFormula>RIGHT(B2,4)</calculatedColumnFormula>
    </tableColumn>
    <tableColumn id="2" xr3:uid="{61665C6A-ABAC-4A73-AA43-E4D28C229481}" name="IDDocumento" dataDxfId="12"/>
    <tableColumn id="3" xr3:uid="{E738B3F7-F776-439B-A991-3EB2BD0A9D1E}" name="Titulo" dataDxfId="11"/>
    <tableColumn id="4" xr3:uid="{A79E1693-5587-48F6-B8FB-1F2C77D801FA}" name="TipoSubTipoDoc" dataDxfId="10"/>
    <tableColumn id="5" xr3:uid="{321DE2A2-D792-45B1-823C-74F8C4FF566B}" name="NVolumeBTE" dataDxfId="9"/>
    <tableColumn id="6" xr3:uid="{09C321C0-AD9F-449F-81B0-A95C4D2137F4}" name="NBTE" dataDxfId="8"/>
    <tableColumn id="7" xr3:uid="{42746D93-2423-4EDF-9072-BBE50355100A}" name="DataBTE" dataDxfId="7"/>
    <tableColumn id="8" xr3:uid="{D2A7EEFA-37A0-461B-A85E-9C32A36AFE5B}" name="DataDistribuicaoBTE" dataDxfId="6"/>
    <tableColumn id="9" xr3:uid="{16841652-4C88-4B1E-B708-7331EEC3D826}" name="PagVersaoEscrita" dataDxfId="5"/>
    <tableColumn id="10" xr3:uid="{3076C7DE-5D1B-46E7-A145-EA6411CC60F6}" name="CAE" dataDxfId="4"/>
    <tableColumn id="11" xr3:uid="{A309B2CD-E91F-4FCB-A1DE-2BB1BC199CF2}" name="CodigoGEPDGERT" dataDxfId="3"/>
    <tableColumn id="12" xr3:uid="{3A49C60C-7413-483C-A1EB-667F435CD57E}" name="DocumentosEmVigor"/>
    <tableColumn id="13" xr3:uid="{6BD5FEF2-C272-4F05-B131-5502BEFD805F}" name="LinkDocEmVigor"/>
    <tableColumn id="14" xr3:uid="{12485DC0-0F62-41CD-A08C-86D026E995F2}" name="DocAlteradosPorEste" dataDxfId="2"/>
    <tableColumn id="15" xr3:uid="{5C922263-6CF7-4219-B922-1EC410418933}" name="DocAlteradosPorEste2"/>
    <tableColumn id="16" xr3:uid="{4DEFF140-50DA-44C9-99B9-159F4B848830}" name="DocAlteramEste"/>
    <tableColumn id="17" xr3:uid="{079706E9-BED7-43B3-86B2-588A2EC7F220}" name="SetoresAtividade"/>
    <tableColumn id="18" xr3:uid="{01467146-8B11-4E80-BE30-2B031C96C789}" name="Outorgantes"/>
    <tableColumn id="19" xr3:uid="{97F464AC-989D-420B-A204-9827215BF8A7}" name="FormulaPDF" dataDxfId="1"/>
    <tableColumn id="20" xr3:uid="{E53DDC6F-A370-4EAE-9972-4DB4440C0D5A}" name="NomePDF" dataDxfId="0">
      <calculatedColumnFormula>TEXT(S2, "00000000") &amp; ".pdf"</calculatedColumnFormula>
    </tableColumn>
    <tableColumn id="21" xr3:uid="{B2D8ECA3-2B9C-415D-BB11-DC3C94CAC3F6}" name="URLPDF">
      <calculatedColumnFormula>HYPERLINK(CONCATENATE("https://bte.dgcp.mtsss.gov.pt/documentos/",A2,"/",F2,"/",T2))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D4996-DE47-4206-985E-2D3F5E889C6C}">
  <dimension ref="A1:V15"/>
  <sheetViews>
    <sheetView tabSelected="1" workbookViewId="0">
      <selection activeCell="A2" sqref="A2"/>
    </sheetView>
  </sheetViews>
  <sheetFormatPr defaultRowHeight="14.45"/>
  <cols>
    <col min="1" max="1" width="9.140625" style="11"/>
    <col min="2" max="2" width="12.85546875" customWidth="1"/>
    <col min="3" max="3" width="156" customWidth="1"/>
    <col min="4" max="4" width="23.140625" customWidth="1"/>
    <col min="5" max="5" width="25.5703125" customWidth="1"/>
    <col min="6" max="6" width="17.42578125" customWidth="1"/>
    <col min="7" max="7" width="20.28515625" customWidth="1"/>
    <col min="8" max="8" width="36.5703125" customWidth="1"/>
    <col min="9" max="9" width="29.5703125" customWidth="1"/>
    <col min="12" max="12" width="32.140625" customWidth="1"/>
    <col min="13" max="13" width="36.7109375" customWidth="1"/>
    <col min="14" max="14" width="35.42578125" customWidth="1"/>
    <col min="15" max="15" width="33.42578125" customWidth="1"/>
    <col min="16" max="16" width="30.140625" customWidth="1"/>
    <col min="17" max="17" width="28.85546875" customWidth="1"/>
    <col min="18" max="18" width="21.7109375" customWidth="1"/>
    <col min="19" max="19" width="23" customWidth="1"/>
    <col min="20" max="20" width="23" style="11" customWidth="1"/>
    <col min="21" max="21" width="57.5703125" style="11" customWidth="1"/>
    <col min="22" max="22" width="68.7109375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2">
      <c r="A2" s="11" t="str">
        <f t="shared" ref="A2:A15" si="0">RIGHT(B2,4)</f>
        <v>2026</v>
      </c>
      <c r="B2" s="1" t="s">
        <v>21</v>
      </c>
      <c r="C2" s="2" t="s">
        <v>22</v>
      </c>
      <c r="D2" s="3" t="s">
        <v>23</v>
      </c>
      <c r="E2" s="3">
        <v>93</v>
      </c>
      <c r="F2" s="4" t="s">
        <v>24</v>
      </c>
      <c r="G2" s="5">
        <v>46256</v>
      </c>
      <c r="H2" s="5">
        <v>46258</v>
      </c>
      <c r="I2" s="6"/>
      <c r="J2" s="7"/>
      <c r="K2" s="6">
        <v>27251</v>
      </c>
      <c r="N2" s="3" t="s">
        <v>25</v>
      </c>
      <c r="Q2" t="s">
        <v>26</v>
      </c>
      <c r="R2" t="s">
        <v>27</v>
      </c>
      <c r="S2" s="8">
        <v>260057</v>
      </c>
      <c r="T2" s="10" t="str">
        <f t="shared" ref="T2:T15" si="1">TEXT(S2, "00000000") &amp; ".pdf"</f>
        <v>00260057.pdf</v>
      </c>
      <c r="U2" s="9" t="str">
        <f>HYPERLINK(CONCATENATE("https://bte.dgcp.mtsss.gov.pt/documentos/",A2,"/",F2,"/",T2))</f>
        <v>https://bte.dgcp.mtsss.gov.pt/documentos/2026/31/00260057.pdf</v>
      </c>
    </row>
    <row r="3" spans="1:22">
      <c r="A3" s="11" t="str">
        <f t="shared" si="0"/>
        <v>2026</v>
      </c>
      <c r="B3" s="1" t="s">
        <v>28</v>
      </c>
      <c r="C3" s="2" t="s">
        <v>29</v>
      </c>
      <c r="D3" s="3" t="s">
        <v>30</v>
      </c>
      <c r="E3" s="3">
        <v>93</v>
      </c>
      <c r="F3" s="4" t="s">
        <v>24</v>
      </c>
      <c r="G3" s="5">
        <v>46256</v>
      </c>
      <c r="H3" s="5">
        <v>46258</v>
      </c>
      <c r="I3" s="6"/>
      <c r="J3" s="7"/>
      <c r="K3" s="6">
        <v>26760</v>
      </c>
      <c r="L3" t="s">
        <v>31</v>
      </c>
      <c r="N3" s="3" t="s">
        <v>32</v>
      </c>
      <c r="Q3" t="s">
        <v>33</v>
      </c>
      <c r="R3" t="s">
        <v>34</v>
      </c>
      <c r="S3" s="8">
        <v>580059</v>
      </c>
      <c r="T3" s="10" t="str">
        <f t="shared" si="1"/>
        <v>00580059.pdf</v>
      </c>
      <c r="U3" s="9" t="str">
        <f>HYPERLINK(CONCATENATE("https://bte.dgcp.mtsss.gov.pt/documentos/",A3,"/",F3,"/",T3))</f>
        <v>https://bte.dgcp.mtsss.gov.pt/documentos/2026/31/00580059.pdf</v>
      </c>
    </row>
    <row r="4" spans="1:22">
      <c r="A4" s="11" t="str">
        <f t="shared" si="0"/>
        <v>2026</v>
      </c>
      <c r="B4" s="1" t="s">
        <v>35</v>
      </c>
      <c r="C4" s="2" t="s">
        <v>36</v>
      </c>
      <c r="D4" s="3" t="s">
        <v>30</v>
      </c>
      <c r="E4" s="3">
        <v>93</v>
      </c>
      <c r="F4" s="4" t="s">
        <v>24</v>
      </c>
      <c r="G4" s="5">
        <v>46256</v>
      </c>
      <c r="H4" s="5">
        <v>46258</v>
      </c>
      <c r="I4" s="6"/>
      <c r="J4" s="7"/>
      <c r="K4" s="6">
        <v>26651</v>
      </c>
      <c r="L4" t="s">
        <v>37</v>
      </c>
      <c r="N4" s="3" t="s">
        <v>38</v>
      </c>
      <c r="Q4" t="s">
        <v>39</v>
      </c>
      <c r="R4" t="s">
        <v>40</v>
      </c>
      <c r="S4" s="8">
        <v>600062</v>
      </c>
      <c r="T4" s="10" t="str">
        <f t="shared" si="1"/>
        <v>00600062.pdf</v>
      </c>
      <c r="U4" s="9" t="str">
        <f>HYPERLINK(CONCATENATE("https://bte.dgcp.mtsss.gov.pt/documentos/",A4,"/",F4,"/",T4))</f>
        <v>https://bte.dgcp.mtsss.gov.pt/documentos/2026/31/00600062.pdf</v>
      </c>
    </row>
    <row r="5" spans="1:22">
      <c r="A5" s="11" t="str">
        <f t="shared" si="0"/>
        <v>2026</v>
      </c>
      <c r="B5" s="1" t="s">
        <v>41</v>
      </c>
      <c r="C5" s="2" t="s">
        <v>42</v>
      </c>
      <c r="D5" s="3" t="s">
        <v>30</v>
      </c>
      <c r="E5" s="3">
        <v>93</v>
      </c>
      <c r="F5" s="4" t="s">
        <v>24</v>
      </c>
      <c r="G5" s="5">
        <v>46256</v>
      </c>
      <c r="H5" s="5">
        <v>46258</v>
      </c>
      <c r="I5" s="6"/>
      <c r="J5" s="7"/>
      <c r="K5" s="6">
        <v>26652</v>
      </c>
      <c r="L5" t="s">
        <v>43</v>
      </c>
      <c r="N5" s="3" t="s">
        <v>44</v>
      </c>
      <c r="Q5" t="s">
        <v>45</v>
      </c>
      <c r="R5" t="s">
        <v>40</v>
      </c>
      <c r="S5" s="8">
        <v>630065</v>
      </c>
      <c r="T5" s="10" t="str">
        <f t="shared" si="1"/>
        <v>00630065.pdf</v>
      </c>
      <c r="U5" s="9" t="str">
        <f>HYPERLINK(CONCATENATE("https://bte.dgcp.mtsss.gov.pt/documentos/",A5,"/",F5,"/",T5))</f>
        <v>https://bte.dgcp.mtsss.gov.pt/documentos/2026/31/00630065.pdf</v>
      </c>
    </row>
    <row r="6" spans="1:22">
      <c r="A6" s="11" t="str">
        <f t="shared" si="0"/>
        <v>2026</v>
      </c>
      <c r="B6" s="1" t="s">
        <v>46</v>
      </c>
      <c r="C6" s="2" t="s">
        <v>47</v>
      </c>
      <c r="D6" s="3" t="s">
        <v>30</v>
      </c>
      <c r="E6" s="3">
        <v>93</v>
      </c>
      <c r="F6" s="4" t="s">
        <v>24</v>
      </c>
      <c r="G6" s="5">
        <v>46256</v>
      </c>
      <c r="H6" s="5">
        <v>46258</v>
      </c>
      <c r="I6" s="6"/>
      <c r="J6" s="7"/>
      <c r="K6" s="6">
        <v>26957</v>
      </c>
      <c r="N6" s="3" t="s">
        <v>48</v>
      </c>
      <c r="Q6" t="s">
        <v>49</v>
      </c>
      <c r="R6" t="s">
        <v>50</v>
      </c>
      <c r="S6" s="8">
        <v>660087</v>
      </c>
      <c r="T6" s="10" t="str">
        <f t="shared" si="1"/>
        <v>00660087.pdf</v>
      </c>
      <c r="U6" s="9" t="str">
        <f>HYPERLINK(CONCATENATE("https://bte.dgcp.mtsss.gov.pt/documentos/",A6,"/",F6,"/",T6))</f>
        <v>https://bte.dgcp.mtsss.gov.pt/documentos/2026/31/00660087.pdf</v>
      </c>
    </row>
    <row r="7" spans="1:22">
      <c r="A7" s="11" t="str">
        <f t="shared" si="0"/>
        <v>2026</v>
      </c>
      <c r="B7" s="1" t="s">
        <v>51</v>
      </c>
      <c r="C7" s="2" t="s">
        <v>52</v>
      </c>
      <c r="D7" s="3" t="s">
        <v>53</v>
      </c>
      <c r="E7" s="3">
        <v>93</v>
      </c>
      <c r="F7" s="4" t="s">
        <v>24</v>
      </c>
      <c r="G7" s="5">
        <v>46256</v>
      </c>
      <c r="H7" s="5">
        <v>46258</v>
      </c>
      <c r="I7" s="6"/>
      <c r="J7" s="7"/>
      <c r="K7" s="6">
        <v>47252</v>
      </c>
      <c r="N7" s="3" t="s">
        <v>54</v>
      </c>
      <c r="Q7" t="s">
        <v>55</v>
      </c>
      <c r="R7" t="s">
        <v>56</v>
      </c>
      <c r="S7" s="8">
        <v>880122</v>
      </c>
      <c r="T7" s="10" t="str">
        <f t="shared" si="1"/>
        <v>00880122.pdf</v>
      </c>
      <c r="U7" s="9" t="str">
        <f>HYPERLINK(CONCATENATE("https://bte.dgcp.mtsss.gov.pt/documentos/",A7,"/",F7,"/",T7))</f>
        <v>https://bte.dgcp.mtsss.gov.pt/documentos/2026/31/00880122.pdf</v>
      </c>
    </row>
    <row r="8" spans="1:22">
      <c r="A8" s="11" t="str">
        <f t="shared" si="0"/>
        <v>2026</v>
      </c>
      <c r="B8" s="1" t="s">
        <v>57</v>
      </c>
      <c r="C8" s="2" t="s">
        <v>58</v>
      </c>
      <c r="D8" s="3" t="s">
        <v>53</v>
      </c>
      <c r="E8" s="3">
        <v>93</v>
      </c>
      <c r="F8" s="4" t="s">
        <v>24</v>
      </c>
      <c r="G8" s="5">
        <v>46256</v>
      </c>
      <c r="H8" s="5">
        <v>46258</v>
      </c>
      <c r="I8" s="6"/>
      <c r="J8" s="7"/>
      <c r="K8" s="6">
        <v>47253</v>
      </c>
      <c r="N8" s="3"/>
      <c r="Q8" t="s">
        <v>59</v>
      </c>
      <c r="R8" t="s">
        <v>60</v>
      </c>
      <c r="S8" s="8">
        <v>1230135</v>
      </c>
      <c r="T8" s="10" t="str">
        <f t="shared" si="1"/>
        <v>01230135.pdf</v>
      </c>
      <c r="U8" s="9" t="str">
        <f>HYPERLINK(CONCATENATE("https://bte.dgcp.mtsss.gov.pt/documentos/",A8,"/",F8,"/",T8))</f>
        <v>https://bte.dgcp.mtsss.gov.pt/documentos/2026/31/01230135.pdf</v>
      </c>
      <c r="V8" s="9"/>
    </row>
    <row r="9" spans="1:22">
      <c r="A9" s="11" t="str">
        <f t="shared" si="0"/>
        <v>2026</v>
      </c>
      <c r="B9" s="1" t="s">
        <v>61</v>
      </c>
      <c r="C9" s="2" t="s">
        <v>62</v>
      </c>
      <c r="D9" s="3" t="s">
        <v>63</v>
      </c>
      <c r="E9" s="3">
        <v>93</v>
      </c>
      <c r="F9" s="4" t="s">
        <v>24</v>
      </c>
      <c r="G9" s="5">
        <v>46256</v>
      </c>
      <c r="H9" s="5">
        <v>46258</v>
      </c>
      <c r="I9" s="6"/>
      <c r="J9" s="7"/>
      <c r="K9" s="6">
        <v>47120</v>
      </c>
      <c r="L9" t="s">
        <v>64</v>
      </c>
      <c r="N9" s="3" t="s">
        <v>65</v>
      </c>
      <c r="Q9" t="s">
        <v>66</v>
      </c>
      <c r="R9" t="s">
        <v>67</v>
      </c>
      <c r="S9" s="8">
        <v>1360149</v>
      </c>
      <c r="T9" s="10" t="str">
        <f t="shared" si="1"/>
        <v>01360149.pdf</v>
      </c>
      <c r="U9" s="9" t="str">
        <f>HYPERLINK(CONCATENATE("https://bte.dgcp.mtsss.gov.pt/documentos/",A9,"/",F9,"/",T9))</f>
        <v>https://bte.dgcp.mtsss.gov.pt/documentos/2026/31/01360149.pdf</v>
      </c>
      <c r="V9" s="9"/>
    </row>
    <row r="10" spans="1:22">
      <c r="A10" s="11" t="str">
        <f t="shared" si="0"/>
        <v>2026</v>
      </c>
      <c r="B10" s="1" t="s">
        <v>68</v>
      </c>
      <c r="C10" s="2" t="s">
        <v>69</v>
      </c>
      <c r="D10" s="3" t="s">
        <v>63</v>
      </c>
      <c r="E10" s="3">
        <v>93</v>
      </c>
      <c r="F10" s="4" t="s">
        <v>24</v>
      </c>
      <c r="G10" s="5">
        <v>46256</v>
      </c>
      <c r="H10" s="5">
        <v>46258</v>
      </c>
      <c r="I10" s="6"/>
      <c r="J10" s="7"/>
      <c r="K10" s="6">
        <v>47140</v>
      </c>
      <c r="L10" t="s">
        <v>70</v>
      </c>
      <c r="N10" s="3" t="s">
        <v>71</v>
      </c>
      <c r="Q10" t="s">
        <v>72</v>
      </c>
      <c r="R10" t="s">
        <v>73</v>
      </c>
      <c r="S10" s="8">
        <v>1500163</v>
      </c>
      <c r="T10" s="10" t="str">
        <f t="shared" si="1"/>
        <v>01500163.pdf</v>
      </c>
      <c r="U10" s="9" t="str">
        <f>HYPERLINK(CONCATENATE("https://bte.dgcp.mtsss.gov.pt/documentos/",A10,"/",F10,"/",T10))</f>
        <v>https://bte.dgcp.mtsss.gov.pt/documentos/2026/31/01500163.pdf</v>
      </c>
      <c r="V10" s="9"/>
    </row>
    <row r="11" spans="1:22">
      <c r="A11" s="11" t="str">
        <f t="shared" si="0"/>
        <v>2026</v>
      </c>
      <c r="B11" s="1" t="s">
        <v>74</v>
      </c>
      <c r="C11" s="2" t="s">
        <v>75</v>
      </c>
      <c r="D11" s="3" t="s">
        <v>63</v>
      </c>
      <c r="E11" s="3">
        <v>93</v>
      </c>
      <c r="F11" s="4" t="s">
        <v>24</v>
      </c>
      <c r="G11" s="5">
        <v>46256</v>
      </c>
      <c r="H11" s="5">
        <v>46258</v>
      </c>
      <c r="I11" s="6"/>
      <c r="J11" s="7"/>
      <c r="K11" s="6">
        <v>46771</v>
      </c>
      <c r="L11" t="s">
        <v>76</v>
      </c>
      <c r="N11" s="3" t="s">
        <v>77</v>
      </c>
      <c r="Q11" t="s">
        <v>78</v>
      </c>
      <c r="R11" t="s">
        <v>79</v>
      </c>
      <c r="S11" s="8">
        <v>1640167</v>
      </c>
      <c r="T11" s="10" t="str">
        <f t="shared" si="1"/>
        <v>01640167.pdf</v>
      </c>
      <c r="U11" s="9" t="str">
        <f>HYPERLINK(CONCATENATE("https://bte.dgcp.mtsss.gov.pt/documentos/",A11,"/",F11,"/",T11))</f>
        <v>https://bte.dgcp.mtsss.gov.pt/documentos/2026/31/01640167.pdf</v>
      </c>
    </row>
    <row r="12" spans="1:22">
      <c r="A12" s="11" t="str">
        <f t="shared" si="0"/>
        <v>2026</v>
      </c>
      <c r="B12" s="1" t="s">
        <v>80</v>
      </c>
      <c r="C12" s="2" t="s">
        <v>81</v>
      </c>
      <c r="D12" s="3" t="s">
        <v>82</v>
      </c>
      <c r="E12" s="3">
        <v>93</v>
      </c>
      <c r="F12" s="4" t="s">
        <v>24</v>
      </c>
      <c r="G12" s="5">
        <v>46256</v>
      </c>
      <c r="H12" s="5">
        <v>46258</v>
      </c>
      <c r="I12" s="6"/>
      <c r="J12" s="7"/>
      <c r="K12" s="6">
        <v>47109</v>
      </c>
      <c r="L12" t="s">
        <v>83</v>
      </c>
      <c r="N12" s="3" t="s">
        <v>84</v>
      </c>
      <c r="Q12" t="s">
        <v>85</v>
      </c>
      <c r="S12" s="8">
        <v>1680170</v>
      </c>
      <c r="T12" s="10" t="str">
        <f t="shared" si="1"/>
        <v>01680170.pdf</v>
      </c>
      <c r="U12" s="9" t="str">
        <f>HYPERLINK(CONCATENATE("https://bte.dgcp.mtsss.gov.pt/documentos/",A12,"/",F12,"/",T12))</f>
        <v>https://bte.dgcp.mtsss.gov.pt/documentos/2026/31/01680170.pdf</v>
      </c>
    </row>
    <row r="13" spans="1:22">
      <c r="A13" s="11" t="str">
        <f t="shared" si="0"/>
        <v>2026</v>
      </c>
      <c r="B13" s="1" t="s">
        <v>86</v>
      </c>
      <c r="C13" s="2" t="s">
        <v>87</v>
      </c>
      <c r="D13" s="3" t="s">
        <v>82</v>
      </c>
      <c r="E13" s="3">
        <v>93</v>
      </c>
      <c r="F13" s="4" t="s">
        <v>24</v>
      </c>
      <c r="G13" s="5">
        <v>46256</v>
      </c>
      <c r="H13" s="5">
        <v>46258</v>
      </c>
      <c r="I13" s="6"/>
      <c r="J13" s="7"/>
      <c r="K13" s="6">
        <v>47126</v>
      </c>
      <c r="L13" t="s">
        <v>88</v>
      </c>
      <c r="N13" s="3" t="s">
        <v>89</v>
      </c>
      <c r="Q13" t="s">
        <v>85</v>
      </c>
      <c r="S13" s="8">
        <v>1710173</v>
      </c>
      <c r="T13" s="10" t="str">
        <f t="shared" si="1"/>
        <v>01710173.pdf</v>
      </c>
      <c r="U13" s="9" t="str">
        <f>HYPERLINK(CONCATENATE("https://bte.dgcp.mtsss.gov.pt/documentos/",A13,"/",F13,"/",T13))</f>
        <v>https://bte.dgcp.mtsss.gov.pt/documentos/2026/31/01710173.pdf</v>
      </c>
    </row>
    <row r="14" spans="1:22">
      <c r="A14" s="11" t="str">
        <f t="shared" si="0"/>
        <v>2026</v>
      </c>
      <c r="B14" s="1" t="s">
        <v>90</v>
      </c>
      <c r="C14" s="2" t="s">
        <v>91</v>
      </c>
      <c r="D14" s="3" t="s">
        <v>82</v>
      </c>
      <c r="E14" s="3">
        <v>93</v>
      </c>
      <c r="F14" s="4" t="s">
        <v>24</v>
      </c>
      <c r="G14" s="5">
        <v>46256</v>
      </c>
      <c r="H14" s="5">
        <v>46258</v>
      </c>
      <c r="I14" s="6"/>
      <c r="J14" s="7"/>
      <c r="K14" s="6">
        <v>47110</v>
      </c>
      <c r="L14" t="s">
        <v>92</v>
      </c>
      <c r="N14" s="3" t="s">
        <v>93</v>
      </c>
      <c r="Q14" t="s">
        <v>85</v>
      </c>
      <c r="S14" s="8">
        <v>1740176</v>
      </c>
      <c r="T14" s="10" t="str">
        <f t="shared" si="1"/>
        <v>01740176.pdf</v>
      </c>
      <c r="U14" s="9" t="str">
        <f>HYPERLINK(CONCATENATE("https://bte.dgcp.mtsss.gov.pt/documentos/",A14,"/",F14,"/",T14))</f>
        <v>https://bte.dgcp.mtsss.gov.pt/documentos/2026/31/01740176.pdf</v>
      </c>
    </row>
    <row r="15" spans="1:22">
      <c r="A15" s="11" t="str">
        <f t="shared" si="0"/>
        <v>2026</v>
      </c>
      <c r="B15" s="1" t="s">
        <v>94</v>
      </c>
      <c r="C15" s="2" t="s">
        <v>95</v>
      </c>
      <c r="D15" s="3" t="s">
        <v>82</v>
      </c>
      <c r="E15" s="3">
        <v>93</v>
      </c>
      <c r="F15" s="4" t="s">
        <v>24</v>
      </c>
      <c r="G15" s="5">
        <v>46256</v>
      </c>
      <c r="H15" s="5">
        <v>46258</v>
      </c>
      <c r="I15" s="6"/>
      <c r="J15" s="7"/>
      <c r="K15" s="6">
        <v>47111</v>
      </c>
      <c r="L15" t="s">
        <v>96</v>
      </c>
      <c r="N15" s="3" t="s">
        <v>97</v>
      </c>
      <c r="Q15" t="s">
        <v>85</v>
      </c>
      <c r="S15" s="8">
        <v>1770179</v>
      </c>
      <c r="T15" s="10" t="str">
        <f t="shared" si="1"/>
        <v>01770179.pdf</v>
      </c>
      <c r="U15" s="9" t="str">
        <f>HYPERLINK(CONCATENATE("https://bte.dgcp.mtsss.gov.pt/documentos/",A15,"/",F15,"/",T15))</f>
        <v>https://bte.dgcp.mtsss.gov.pt/documentos/2026/31/01770179.pdf</v>
      </c>
    </row>
  </sheetData>
  <pageMargins left="0.70866141732283472" right="0.70866141732283472" top="0.74803149606299213" bottom="0.74803149606299213" header="0.31496062992125984" footer="0.31496062992125984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spons_x00e1_vel xmlns="c623e0ce-f12a-4f09-87e1-ac78cfef16b1">
      <UserInfo>
        <DisplayName/>
        <AccountId xsi:nil="true"/>
        <AccountType/>
      </UserInfo>
    </Respons_x00e1_vel>
    <lcf76f155ced4ddcb4097134ff3c332f xmlns="c623e0ce-f12a-4f09-87e1-ac78cfef16b1">
      <Terms xmlns="http://schemas.microsoft.com/office/infopath/2007/PartnerControls"/>
    </lcf76f155ced4ddcb4097134ff3c332f>
    <Tipodedocumento xmlns="c623e0ce-f12a-4f09-87e1-ac78cfef16b1" xsi:nil="true"/>
    <Observa_x00e7__x00f5_es_x002f_Coment_x00e1_rios xmlns="c623e0ce-f12a-4f09-87e1-ac78cfef16b1" xsi:nil="true"/>
    <TaxCatchAll xmlns="224f8e70-d945-4bc2-8ae3-7ee958ff7f3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31B55FAC100C2449F113C3AD3616AB1" ma:contentTypeVersion="14" ma:contentTypeDescription="Criar um novo documento." ma:contentTypeScope="" ma:versionID="bebd5941661e4f05a85ccda5110de6ec">
  <xsd:schema xmlns:xsd="http://www.w3.org/2001/XMLSchema" xmlns:xs="http://www.w3.org/2001/XMLSchema" xmlns:p="http://schemas.microsoft.com/office/2006/metadata/properties" xmlns:ns2="c623e0ce-f12a-4f09-87e1-ac78cfef16b1" xmlns:ns3="224f8e70-d945-4bc2-8ae3-7ee958ff7f34" targetNamespace="http://schemas.microsoft.com/office/2006/metadata/properties" ma:root="true" ma:fieldsID="01393504f965040d4be047dc6e4cc18a" ns2:_="" ns3:_="">
    <xsd:import namespace="c623e0ce-f12a-4f09-87e1-ac78cfef16b1"/>
    <xsd:import namespace="224f8e70-d945-4bc2-8ae3-7ee958ff7f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Respons_x00e1_vel" minOccurs="0"/>
                <xsd:element ref="ns2:Tipodedocumento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Observa_x00e7__x00f5_es_x002f_Coment_x00e1_rio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23e0ce-f12a-4f09-87e1-ac78cfef16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spons_x00e1_vel" ma:index="11" nillable="true" ma:displayName="Responsável" ma:description="Pessoa responsável pela edição e manutenção do documento" ma:format="Dropdown" ma:list="UserInfo" ma:SharePointGroup="0" ma:internalName="Respons_x00e1_vel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Tipodedocumento" ma:index="12" nillable="true" ma:displayName="Tipo de documento" ma:description="Tipo de documento enviado para efeitos de recrutamento" ma:format="Dropdown" ma:indexed="true" ma:internalName="Tipodedocumento">
      <xsd:simpleType>
        <xsd:union memberTypes="dms:Text">
          <xsd:simpleType>
            <xsd:restriction base="dms:Choice">
              <xsd:enumeration value="Desatualizado"/>
              <xsd:enumeration value="Versão de Trabalho"/>
              <xsd:enumeration value="Versão Final"/>
              <xsd:enumeration value="Certificado Habilitações"/>
              <xsd:enumeration value="Declaração de Vínculo"/>
              <xsd:enumeration value="Curriculum Vitae"/>
              <xsd:enumeration value="Certificado Formação"/>
            </xsd:restriction>
          </xsd:simpleType>
        </xsd:union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m" ma:readOnly="false" ma:fieldId="{5cf76f15-5ced-4ddc-b409-7134ff3c332f}" ma:taxonomyMulti="true" ma:sspId="7e059fca-019d-48b8-a0ae-cd375d06abd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Observa_x00e7__x00f5_es_x002f_Coment_x00e1_rios" ma:index="21" nillable="true" ma:displayName="Observações/Comentários" ma:format="Dropdown" ma:internalName="Observa_x00e7__x00f5_es_x002f_Coment_x00e1_rio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4f8e70-d945-4bc2-8ae3-7ee958ff7f34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07d98986-76b8-4e77-83e1-4bdb0b2e0ebf}" ma:internalName="TaxCatchAll" ma:showField="CatchAllData" ma:web="224f8e70-d945-4bc2-8ae3-7ee958ff7f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6D821FB-9E04-4883-9B32-81D0C63FD701}"/>
</file>

<file path=customXml/itemProps2.xml><?xml version="1.0" encoding="utf-8"?>
<ds:datastoreItem xmlns:ds="http://schemas.openxmlformats.org/officeDocument/2006/customXml" ds:itemID="{837A721A-0AEC-42AA-8582-8D8C2CEF80B5}"/>
</file>

<file path=customXml/itemProps3.xml><?xml version="1.0" encoding="utf-8"?>
<ds:datastoreItem xmlns:ds="http://schemas.openxmlformats.org/officeDocument/2006/customXml" ds:itemID="{E3C88381-4738-4E5E-B5FA-11AA835DC8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eSocial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Teresa Feliciano</dc:creator>
  <cp:keywords/>
  <dc:description/>
  <cp:lastModifiedBy>António Manuel Fula</cp:lastModifiedBy>
  <cp:revision/>
  <dcterms:created xsi:type="dcterms:W3CDTF">2026-08-27T15:06:36Z</dcterms:created>
  <dcterms:modified xsi:type="dcterms:W3CDTF">2026-10-13T08:42:18Z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0x010100931B55FAC100C2449F113C3AD3616AB1</vt:lpwstr>
  </property>
  <property fmtid="{D5CDD505-2E9C-101B-9397-08002B2CF9AE}" pid="3" name="MediaServiceImageTags">
    <vt:lpwstr/>
  </property>
</Properties>
</file>