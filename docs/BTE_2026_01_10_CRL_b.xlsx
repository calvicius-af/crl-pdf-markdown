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esocial.sharepoint.com/sites/CentrodeRelaesLaborais/Documentos Partilhados/Negociação Coletiva/Importacao_de_PDF_teste/"/>
    </mc:Choice>
  </mc:AlternateContent>
  <xr:revisionPtr revIDLastSave="10" documentId="8_{AE2E6550-F5FE-444D-8618-F8B5062CABB8}" xr6:coauthVersionLast="47" xr6:coauthVersionMax="47" xr10:uidLastSave="{01FCE765-82DF-4FE5-8CA4-5E5A7200BD26}"/>
  <bookViews>
    <workbookView xWindow="-110" yWindow="-110" windowWidth="38620" windowHeight="21100" xr2:uid="{EAF5C815-345F-4D59-9FFF-32DAB6EA270B}"/>
  </bookViews>
  <sheets>
    <sheet name="BTE" sheetId="1" r:id="rId1"/>
  </sheets>
  <definedNames>
    <definedName name="_xlnm._FilterDatabase" localSheetId="0" hidden="1">BTE!$A$1:$X$412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412" i="1" l="1"/>
  <c r="A412" i="1"/>
  <c r="T411" i="1"/>
  <c r="A411" i="1"/>
  <c r="T410" i="1"/>
  <c r="A410" i="1"/>
  <c r="T409" i="1"/>
  <c r="A409" i="1"/>
  <c r="T408" i="1"/>
  <c r="A408" i="1"/>
  <c r="T407" i="1"/>
  <c r="A407" i="1"/>
  <c r="T406" i="1"/>
  <c r="A406" i="1"/>
  <c r="T405" i="1"/>
  <c r="A405" i="1"/>
  <c r="T404" i="1"/>
  <c r="A404" i="1"/>
  <c r="T403" i="1"/>
  <c r="A403" i="1"/>
  <c r="T402" i="1"/>
  <c r="A402" i="1"/>
  <c r="T401" i="1"/>
  <c r="A401" i="1"/>
  <c r="T400" i="1"/>
  <c r="A400" i="1"/>
  <c r="T399" i="1"/>
  <c r="A399" i="1"/>
  <c r="T398" i="1"/>
  <c r="A398" i="1"/>
  <c r="T397" i="1"/>
  <c r="A397" i="1"/>
  <c r="T396" i="1"/>
  <c r="A396" i="1"/>
  <c r="T395" i="1"/>
  <c r="A395" i="1"/>
  <c r="T394" i="1"/>
  <c r="A394" i="1"/>
  <c r="T393" i="1"/>
  <c r="A393" i="1"/>
  <c r="T392" i="1"/>
  <c r="A392" i="1"/>
  <c r="T391" i="1"/>
  <c r="A391" i="1"/>
  <c r="T390" i="1"/>
  <c r="A390" i="1"/>
  <c r="T389" i="1"/>
  <c r="A389" i="1"/>
  <c r="T388" i="1"/>
  <c r="A388" i="1"/>
  <c r="T387" i="1"/>
  <c r="A387" i="1"/>
  <c r="T386" i="1"/>
  <c r="A386" i="1"/>
  <c r="T385" i="1"/>
  <c r="A385" i="1"/>
  <c r="T384" i="1"/>
  <c r="A384" i="1"/>
  <c r="T383" i="1"/>
  <c r="A383" i="1"/>
  <c r="T382" i="1"/>
  <c r="A382" i="1"/>
  <c r="T381" i="1"/>
  <c r="A381" i="1"/>
  <c r="T380" i="1"/>
  <c r="A380" i="1"/>
  <c r="T379" i="1"/>
  <c r="A379" i="1"/>
  <c r="T378" i="1"/>
  <c r="A378" i="1"/>
  <c r="T377" i="1"/>
  <c r="A377" i="1"/>
  <c r="T376" i="1"/>
  <c r="A376" i="1"/>
  <c r="T375" i="1"/>
  <c r="A375" i="1"/>
  <c r="T374" i="1"/>
  <c r="A374" i="1"/>
  <c r="T373" i="1"/>
  <c r="A373" i="1"/>
  <c r="T372" i="1"/>
  <c r="A372" i="1"/>
  <c r="T371" i="1"/>
  <c r="A371" i="1"/>
  <c r="T370" i="1"/>
  <c r="A370" i="1"/>
  <c r="T369" i="1"/>
  <c r="A369" i="1"/>
  <c r="T368" i="1"/>
  <c r="A368" i="1"/>
  <c r="T367" i="1"/>
  <c r="A367" i="1"/>
  <c r="T366" i="1"/>
  <c r="A366" i="1"/>
  <c r="T365" i="1"/>
  <c r="A365" i="1"/>
  <c r="T364" i="1"/>
  <c r="A364" i="1"/>
  <c r="T363" i="1"/>
  <c r="A363" i="1"/>
  <c r="T362" i="1"/>
  <c r="A362" i="1"/>
  <c r="T361" i="1"/>
  <c r="A361" i="1"/>
  <c r="T360" i="1"/>
  <c r="A360" i="1"/>
  <c r="T359" i="1"/>
  <c r="A359" i="1"/>
  <c r="T358" i="1"/>
  <c r="A358" i="1"/>
  <c r="T357" i="1"/>
  <c r="A357" i="1"/>
  <c r="T356" i="1"/>
  <c r="A356" i="1"/>
  <c r="T355" i="1"/>
  <c r="A355" i="1"/>
  <c r="T354" i="1"/>
  <c r="A354" i="1"/>
  <c r="T353" i="1"/>
  <c r="A353" i="1"/>
  <c r="T352" i="1"/>
  <c r="A352" i="1"/>
  <c r="T351" i="1"/>
  <c r="A351" i="1"/>
  <c r="T350" i="1"/>
  <c r="A350" i="1"/>
  <c r="T349" i="1"/>
  <c r="A349" i="1"/>
  <c r="T348" i="1"/>
  <c r="A348" i="1"/>
  <c r="T347" i="1"/>
  <c r="A347" i="1"/>
  <c r="T346" i="1"/>
  <c r="A346" i="1"/>
  <c r="T345" i="1"/>
  <c r="A345" i="1"/>
  <c r="T344" i="1"/>
  <c r="A344" i="1"/>
  <c r="T343" i="1"/>
  <c r="A343" i="1"/>
  <c r="T342" i="1"/>
  <c r="A342" i="1"/>
  <c r="T341" i="1"/>
  <c r="A341" i="1"/>
  <c r="T340" i="1"/>
  <c r="A340" i="1"/>
  <c r="T339" i="1"/>
  <c r="A339" i="1"/>
  <c r="T338" i="1"/>
  <c r="A338" i="1"/>
  <c r="T337" i="1"/>
  <c r="A337" i="1"/>
  <c r="T336" i="1"/>
  <c r="A336" i="1"/>
  <c r="T335" i="1"/>
  <c r="A335" i="1"/>
  <c r="T334" i="1"/>
  <c r="A334" i="1"/>
  <c r="T333" i="1"/>
  <c r="A333" i="1"/>
  <c r="T332" i="1"/>
  <c r="A332" i="1"/>
  <c r="T331" i="1"/>
  <c r="A331" i="1"/>
  <c r="T330" i="1"/>
  <c r="A330" i="1"/>
  <c r="T329" i="1"/>
  <c r="A329" i="1"/>
  <c r="T328" i="1"/>
  <c r="A328" i="1"/>
  <c r="T327" i="1"/>
  <c r="A327" i="1"/>
  <c r="T326" i="1"/>
  <c r="A326" i="1"/>
  <c r="T325" i="1"/>
  <c r="A325" i="1"/>
  <c r="T324" i="1"/>
  <c r="A324" i="1"/>
  <c r="T323" i="1"/>
  <c r="A323" i="1"/>
  <c r="T322" i="1"/>
  <c r="A322" i="1"/>
  <c r="T321" i="1"/>
  <c r="A321" i="1"/>
  <c r="T320" i="1"/>
  <c r="A320" i="1"/>
  <c r="T319" i="1"/>
  <c r="A319" i="1"/>
  <c r="T318" i="1"/>
  <c r="A318" i="1"/>
  <c r="T317" i="1"/>
  <c r="A317" i="1"/>
  <c r="T316" i="1"/>
  <c r="A316" i="1"/>
  <c r="T315" i="1"/>
  <c r="A315" i="1"/>
  <c r="T314" i="1"/>
  <c r="A314" i="1"/>
  <c r="T313" i="1"/>
  <c r="A313" i="1"/>
  <c r="T312" i="1"/>
  <c r="A312" i="1"/>
  <c r="T311" i="1"/>
  <c r="A311" i="1"/>
  <c r="T310" i="1"/>
  <c r="A310" i="1"/>
  <c r="T309" i="1"/>
  <c r="A309" i="1"/>
  <c r="T308" i="1"/>
  <c r="A308" i="1"/>
  <c r="T307" i="1"/>
  <c r="A307" i="1"/>
  <c r="T306" i="1"/>
  <c r="A306" i="1"/>
  <c r="T305" i="1"/>
  <c r="A305" i="1"/>
  <c r="T304" i="1"/>
  <c r="A304" i="1"/>
  <c r="T303" i="1"/>
  <c r="A303" i="1"/>
  <c r="T302" i="1"/>
  <c r="A302" i="1"/>
  <c r="T301" i="1"/>
  <c r="A301" i="1"/>
  <c r="T300" i="1"/>
  <c r="A300" i="1"/>
  <c r="T299" i="1"/>
  <c r="A299" i="1"/>
  <c r="T298" i="1"/>
  <c r="A298" i="1"/>
  <c r="T297" i="1"/>
  <c r="A297" i="1"/>
  <c r="T296" i="1"/>
  <c r="A296" i="1"/>
  <c r="T295" i="1"/>
  <c r="A295" i="1"/>
  <c r="T294" i="1"/>
  <c r="A294" i="1"/>
  <c r="T293" i="1"/>
  <c r="A293" i="1"/>
  <c r="T292" i="1"/>
  <c r="A292" i="1"/>
  <c r="T291" i="1"/>
  <c r="A291" i="1"/>
  <c r="T290" i="1"/>
  <c r="A290" i="1"/>
  <c r="T289" i="1"/>
  <c r="A289" i="1"/>
  <c r="T288" i="1"/>
  <c r="A288" i="1"/>
  <c r="T287" i="1"/>
  <c r="A287" i="1"/>
  <c r="T286" i="1"/>
  <c r="A286" i="1"/>
  <c r="T285" i="1"/>
  <c r="A285" i="1"/>
  <c r="T284" i="1"/>
  <c r="A284" i="1"/>
  <c r="T283" i="1"/>
  <c r="A283" i="1"/>
  <c r="T282" i="1"/>
  <c r="A282" i="1"/>
  <c r="T281" i="1"/>
  <c r="A281" i="1"/>
  <c r="T280" i="1"/>
  <c r="A280" i="1"/>
  <c r="T279" i="1"/>
  <c r="A279" i="1"/>
  <c r="T278" i="1"/>
  <c r="A278" i="1"/>
  <c r="T277" i="1"/>
  <c r="A277" i="1"/>
  <c r="T276" i="1"/>
  <c r="A276" i="1"/>
  <c r="T275" i="1"/>
  <c r="A275" i="1"/>
  <c r="T274" i="1"/>
  <c r="A274" i="1"/>
  <c r="T273" i="1"/>
  <c r="A273" i="1"/>
  <c r="T272" i="1"/>
  <c r="A272" i="1"/>
  <c r="T271" i="1"/>
  <c r="A271" i="1"/>
  <c r="T270" i="1"/>
  <c r="A270" i="1"/>
  <c r="T269" i="1"/>
  <c r="A269" i="1"/>
  <c r="T268" i="1"/>
  <c r="A268" i="1"/>
  <c r="T267" i="1"/>
  <c r="A267" i="1"/>
  <c r="T266" i="1"/>
  <c r="A266" i="1"/>
  <c r="T265" i="1"/>
  <c r="A265" i="1"/>
  <c r="T264" i="1"/>
  <c r="A264" i="1"/>
  <c r="T263" i="1"/>
  <c r="A263" i="1"/>
  <c r="T262" i="1"/>
  <c r="A262" i="1"/>
  <c r="T261" i="1"/>
  <c r="A261" i="1"/>
  <c r="T260" i="1"/>
  <c r="A260" i="1"/>
  <c r="T259" i="1"/>
  <c r="A259" i="1"/>
  <c r="T258" i="1"/>
  <c r="A258" i="1"/>
  <c r="T257" i="1"/>
  <c r="A257" i="1"/>
  <c r="T256" i="1"/>
  <c r="A256" i="1"/>
  <c r="T255" i="1"/>
  <c r="A255" i="1"/>
  <c r="T254" i="1"/>
  <c r="A254" i="1"/>
  <c r="T253" i="1"/>
  <c r="A253" i="1"/>
  <c r="T252" i="1"/>
  <c r="A252" i="1"/>
  <c r="T251" i="1"/>
  <c r="A251" i="1"/>
  <c r="T250" i="1"/>
  <c r="A250" i="1"/>
  <c r="T249" i="1"/>
  <c r="A249" i="1"/>
  <c r="T248" i="1"/>
  <c r="A248" i="1"/>
  <c r="T247" i="1"/>
  <c r="A247" i="1"/>
  <c r="T246" i="1"/>
  <c r="A246" i="1"/>
  <c r="T245" i="1"/>
  <c r="A245" i="1"/>
  <c r="T244" i="1"/>
  <c r="A244" i="1"/>
  <c r="T243" i="1"/>
  <c r="A243" i="1"/>
  <c r="T242" i="1"/>
  <c r="A242" i="1"/>
  <c r="T241" i="1"/>
  <c r="A241" i="1"/>
  <c r="T240" i="1"/>
  <c r="A240" i="1"/>
  <c r="T239" i="1"/>
  <c r="A239" i="1"/>
  <c r="T238" i="1"/>
  <c r="A238" i="1"/>
  <c r="T237" i="1"/>
  <c r="A237" i="1"/>
  <c r="T236" i="1"/>
  <c r="A236" i="1"/>
  <c r="T235" i="1"/>
  <c r="A235" i="1"/>
  <c r="T234" i="1"/>
  <c r="A234" i="1"/>
  <c r="T233" i="1"/>
  <c r="A233" i="1"/>
  <c r="T232" i="1"/>
  <c r="A232" i="1"/>
  <c r="T231" i="1"/>
  <c r="A231" i="1"/>
  <c r="T230" i="1"/>
  <c r="A230" i="1"/>
  <c r="T229" i="1"/>
  <c r="A229" i="1"/>
  <c r="T228" i="1"/>
  <c r="A228" i="1"/>
  <c r="T227" i="1"/>
  <c r="A227" i="1"/>
  <c r="T226" i="1"/>
  <c r="A226" i="1"/>
  <c r="T225" i="1"/>
  <c r="A225" i="1"/>
  <c r="T224" i="1"/>
  <c r="A224" i="1"/>
  <c r="T223" i="1"/>
  <c r="A223" i="1"/>
  <c r="T222" i="1"/>
  <c r="A222" i="1"/>
  <c r="T221" i="1"/>
  <c r="A221" i="1"/>
  <c r="T220" i="1"/>
  <c r="A220" i="1"/>
  <c r="T219" i="1"/>
  <c r="A219" i="1"/>
  <c r="T218" i="1"/>
  <c r="A218" i="1"/>
  <c r="T217" i="1"/>
  <c r="A217" i="1"/>
  <c r="T216" i="1"/>
  <c r="A216" i="1"/>
  <c r="T215" i="1"/>
  <c r="A215" i="1"/>
  <c r="T214" i="1"/>
  <c r="A214" i="1"/>
  <c r="T213" i="1"/>
  <c r="A213" i="1"/>
  <c r="T212" i="1"/>
  <c r="A212" i="1"/>
  <c r="T211" i="1"/>
  <c r="A211" i="1"/>
  <c r="T210" i="1"/>
  <c r="A210" i="1"/>
  <c r="T209" i="1"/>
  <c r="A209" i="1"/>
  <c r="T208" i="1"/>
  <c r="A208" i="1"/>
  <c r="T207" i="1"/>
  <c r="A207" i="1"/>
  <c r="T206" i="1"/>
  <c r="A206" i="1"/>
  <c r="T205" i="1"/>
  <c r="A205" i="1"/>
  <c r="T204" i="1"/>
  <c r="A204" i="1"/>
  <c r="T203" i="1"/>
  <c r="A203" i="1"/>
  <c r="T202" i="1"/>
  <c r="A202" i="1"/>
  <c r="T201" i="1"/>
  <c r="A201" i="1"/>
  <c r="T200" i="1"/>
  <c r="A200" i="1"/>
  <c r="T199" i="1"/>
  <c r="A199" i="1"/>
  <c r="T198" i="1"/>
  <c r="A198" i="1"/>
  <c r="T197" i="1"/>
  <c r="A197" i="1"/>
  <c r="T196" i="1"/>
  <c r="A196" i="1"/>
  <c r="T195" i="1"/>
  <c r="A195" i="1"/>
  <c r="T194" i="1"/>
  <c r="A194" i="1"/>
  <c r="T193" i="1"/>
  <c r="A193" i="1"/>
  <c r="T192" i="1"/>
  <c r="A192" i="1"/>
  <c r="T191" i="1"/>
  <c r="A191" i="1"/>
  <c r="T190" i="1"/>
  <c r="A190" i="1"/>
  <c r="T189" i="1"/>
  <c r="A189" i="1"/>
  <c r="T188" i="1"/>
  <c r="A188" i="1"/>
  <c r="T187" i="1"/>
  <c r="A187" i="1"/>
  <c r="T186" i="1"/>
  <c r="A186" i="1"/>
  <c r="T185" i="1"/>
  <c r="A185" i="1"/>
  <c r="T184" i="1"/>
  <c r="A184" i="1"/>
  <c r="T183" i="1"/>
  <c r="A183" i="1"/>
  <c r="T182" i="1"/>
  <c r="A182" i="1"/>
  <c r="T181" i="1"/>
  <c r="A181" i="1"/>
  <c r="T180" i="1"/>
  <c r="A180" i="1"/>
  <c r="T179" i="1"/>
  <c r="A179" i="1"/>
  <c r="T178" i="1"/>
  <c r="A178" i="1"/>
  <c r="T177" i="1"/>
  <c r="A177" i="1"/>
  <c r="T176" i="1"/>
  <c r="A176" i="1"/>
  <c r="T175" i="1"/>
  <c r="A175" i="1"/>
  <c r="T174" i="1"/>
  <c r="A174" i="1"/>
  <c r="T173" i="1"/>
  <c r="A173" i="1"/>
  <c r="T172" i="1"/>
  <c r="A172" i="1"/>
  <c r="T171" i="1"/>
  <c r="A171" i="1"/>
  <c r="T170" i="1"/>
  <c r="A170" i="1"/>
  <c r="T169" i="1"/>
  <c r="A169" i="1"/>
  <c r="T168" i="1"/>
  <c r="A168" i="1"/>
  <c r="T167" i="1"/>
  <c r="A167" i="1"/>
  <c r="T166" i="1"/>
  <c r="A166" i="1"/>
  <c r="T165" i="1"/>
  <c r="A165" i="1"/>
  <c r="T164" i="1"/>
  <c r="A164" i="1"/>
  <c r="T163" i="1"/>
  <c r="A163" i="1"/>
  <c r="T162" i="1"/>
  <c r="A162" i="1"/>
  <c r="T161" i="1"/>
  <c r="A161" i="1"/>
  <c r="T160" i="1"/>
  <c r="A160" i="1"/>
  <c r="T159" i="1"/>
  <c r="A159" i="1"/>
  <c r="T158" i="1"/>
  <c r="A158" i="1"/>
  <c r="T157" i="1"/>
  <c r="A157" i="1"/>
  <c r="T156" i="1"/>
  <c r="A156" i="1"/>
  <c r="T155" i="1"/>
  <c r="A155" i="1"/>
  <c r="T154" i="1"/>
  <c r="A154" i="1"/>
  <c r="T153" i="1"/>
  <c r="A153" i="1"/>
  <c r="T152" i="1"/>
  <c r="A152" i="1"/>
  <c r="T151" i="1"/>
  <c r="A151" i="1"/>
  <c r="T150" i="1"/>
  <c r="A150" i="1"/>
  <c r="T149" i="1"/>
  <c r="A149" i="1"/>
  <c r="T148" i="1"/>
  <c r="A148" i="1"/>
  <c r="T147" i="1"/>
  <c r="A147" i="1"/>
  <c r="T146" i="1"/>
  <c r="A146" i="1"/>
  <c r="T145" i="1"/>
  <c r="A145" i="1"/>
  <c r="T144" i="1"/>
  <c r="A144" i="1"/>
  <c r="T143" i="1"/>
  <c r="A143" i="1"/>
  <c r="T142" i="1"/>
  <c r="A142" i="1"/>
  <c r="T141" i="1"/>
  <c r="A141" i="1"/>
  <c r="T140" i="1"/>
  <c r="A140" i="1"/>
  <c r="T139" i="1"/>
  <c r="A139" i="1"/>
  <c r="T138" i="1"/>
  <c r="A138" i="1"/>
  <c r="T137" i="1"/>
  <c r="A137" i="1"/>
  <c r="T136" i="1"/>
  <c r="A136" i="1"/>
  <c r="T135" i="1"/>
  <c r="A135" i="1"/>
  <c r="T134" i="1"/>
  <c r="A134" i="1"/>
  <c r="T133" i="1"/>
  <c r="A133" i="1"/>
  <c r="T132" i="1"/>
  <c r="A132" i="1"/>
  <c r="T131" i="1"/>
  <c r="A131" i="1"/>
  <c r="T130" i="1"/>
  <c r="A130" i="1"/>
  <c r="T129" i="1"/>
  <c r="A129" i="1"/>
  <c r="T128" i="1"/>
  <c r="A128" i="1"/>
  <c r="T127" i="1"/>
  <c r="A127" i="1"/>
  <c r="T126" i="1"/>
  <c r="A126" i="1"/>
  <c r="T125" i="1"/>
  <c r="A125" i="1"/>
  <c r="T124" i="1"/>
  <c r="A124" i="1"/>
  <c r="T123" i="1"/>
  <c r="A123" i="1"/>
  <c r="T122" i="1"/>
  <c r="A122" i="1"/>
  <c r="T121" i="1"/>
  <c r="A121" i="1"/>
  <c r="T120" i="1"/>
  <c r="A120" i="1"/>
  <c r="T119" i="1"/>
  <c r="A119" i="1"/>
  <c r="T118" i="1"/>
  <c r="A118" i="1"/>
  <c r="T117" i="1"/>
  <c r="A117" i="1"/>
  <c r="T116" i="1"/>
  <c r="A116" i="1"/>
  <c r="T115" i="1"/>
  <c r="A115" i="1"/>
  <c r="T114" i="1"/>
  <c r="A114" i="1"/>
  <c r="T113" i="1"/>
  <c r="A113" i="1"/>
  <c r="T112" i="1"/>
  <c r="A112" i="1"/>
  <c r="T111" i="1"/>
  <c r="A111" i="1"/>
  <c r="T110" i="1"/>
  <c r="A110" i="1"/>
  <c r="T109" i="1"/>
  <c r="A109" i="1"/>
  <c r="T108" i="1"/>
  <c r="A108" i="1"/>
  <c r="T107" i="1"/>
  <c r="A107" i="1"/>
  <c r="T106" i="1"/>
  <c r="A106" i="1"/>
  <c r="T105" i="1"/>
  <c r="A105" i="1"/>
  <c r="T104" i="1"/>
  <c r="A104" i="1"/>
  <c r="T103" i="1"/>
  <c r="A103" i="1"/>
  <c r="T102" i="1"/>
  <c r="A102" i="1"/>
  <c r="T101" i="1"/>
  <c r="A101" i="1"/>
  <c r="T100" i="1"/>
  <c r="A100" i="1"/>
  <c r="T99" i="1"/>
  <c r="A99" i="1"/>
  <c r="T98" i="1"/>
  <c r="A98" i="1"/>
  <c r="T97" i="1"/>
  <c r="A97" i="1"/>
  <c r="T96" i="1"/>
  <c r="A96" i="1"/>
  <c r="T95" i="1"/>
  <c r="A95" i="1"/>
  <c r="T94" i="1"/>
  <c r="A94" i="1"/>
  <c r="T93" i="1"/>
  <c r="A93" i="1"/>
  <c r="T92" i="1"/>
  <c r="A92" i="1"/>
  <c r="T91" i="1"/>
  <c r="A91" i="1"/>
  <c r="T90" i="1"/>
  <c r="A90" i="1"/>
  <c r="T89" i="1"/>
  <c r="A89" i="1"/>
  <c r="T88" i="1"/>
  <c r="A88" i="1"/>
  <c r="T87" i="1"/>
  <c r="A87" i="1"/>
  <c r="T86" i="1"/>
  <c r="A86" i="1"/>
  <c r="T85" i="1"/>
  <c r="A85" i="1"/>
  <c r="T84" i="1"/>
  <c r="A84" i="1"/>
  <c r="T83" i="1"/>
  <c r="A83" i="1"/>
  <c r="T82" i="1"/>
  <c r="A82" i="1"/>
  <c r="T81" i="1"/>
  <c r="A81" i="1"/>
  <c r="T80" i="1"/>
  <c r="A80" i="1"/>
  <c r="T79" i="1"/>
  <c r="A79" i="1"/>
  <c r="T78" i="1"/>
  <c r="A78" i="1"/>
  <c r="T77" i="1"/>
  <c r="A77" i="1"/>
  <c r="T76" i="1"/>
  <c r="A76" i="1"/>
  <c r="T75" i="1"/>
  <c r="A75" i="1"/>
  <c r="T74" i="1"/>
  <c r="A74" i="1"/>
  <c r="T73" i="1"/>
  <c r="A73" i="1"/>
  <c r="T72" i="1"/>
  <c r="A72" i="1"/>
  <c r="T71" i="1"/>
  <c r="A71" i="1"/>
  <c r="T70" i="1"/>
  <c r="A70" i="1"/>
  <c r="T69" i="1"/>
  <c r="A69" i="1"/>
  <c r="T68" i="1"/>
  <c r="A68" i="1"/>
  <c r="T67" i="1"/>
  <c r="A67" i="1"/>
  <c r="T66" i="1"/>
  <c r="A66" i="1"/>
  <c r="T65" i="1"/>
  <c r="A65" i="1"/>
  <c r="T64" i="1"/>
  <c r="A64" i="1"/>
  <c r="T63" i="1"/>
  <c r="A63" i="1"/>
  <c r="T62" i="1"/>
  <c r="A62" i="1"/>
  <c r="T61" i="1"/>
  <c r="A61" i="1"/>
  <c r="T60" i="1"/>
  <c r="A60" i="1"/>
  <c r="T59" i="1"/>
  <c r="A59" i="1"/>
  <c r="T58" i="1"/>
  <c r="A58" i="1"/>
  <c r="T57" i="1"/>
  <c r="A57" i="1"/>
  <c r="T56" i="1"/>
  <c r="A56" i="1"/>
  <c r="T55" i="1"/>
  <c r="A55" i="1"/>
  <c r="T54" i="1"/>
  <c r="A54" i="1"/>
  <c r="T53" i="1"/>
  <c r="A53" i="1"/>
  <c r="T52" i="1"/>
  <c r="A52" i="1"/>
  <c r="T51" i="1"/>
  <c r="A51" i="1"/>
  <c r="T50" i="1"/>
  <c r="A50" i="1"/>
  <c r="T49" i="1"/>
  <c r="A49" i="1"/>
  <c r="T48" i="1"/>
  <c r="A48" i="1"/>
  <c r="T47" i="1"/>
  <c r="A47" i="1"/>
  <c r="T46" i="1"/>
  <c r="A46" i="1"/>
  <c r="T45" i="1"/>
  <c r="A45" i="1"/>
  <c r="T44" i="1"/>
  <c r="A44" i="1"/>
  <c r="T43" i="1"/>
  <c r="A43" i="1"/>
  <c r="T42" i="1"/>
  <c r="A42" i="1"/>
  <c r="T41" i="1"/>
  <c r="A41" i="1"/>
  <c r="T40" i="1"/>
  <c r="A40" i="1"/>
  <c r="T39" i="1"/>
  <c r="A39" i="1"/>
  <c r="T38" i="1"/>
  <c r="A38" i="1"/>
  <c r="T37" i="1"/>
  <c r="A37" i="1"/>
  <c r="T36" i="1"/>
  <c r="A36" i="1"/>
  <c r="T35" i="1"/>
  <c r="A35" i="1"/>
  <c r="T34" i="1"/>
  <c r="A34" i="1"/>
  <c r="T33" i="1"/>
  <c r="A33" i="1"/>
  <c r="T32" i="1"/>
  <c r="A32" i="1"/>
  <c r="T31" i="1"/>
  <c r="A31" i="1"/>
  <c r="T30" i="1"/>
  <c r="A30" i="1"/>
  <c r="T29" i="1"/>
  <c r="A29" i="1"/>
  <c r="T28" i="1"/>
  <c r="A28" i="1"/>
  <c r="T27" i="1"/>
  <c r="A27" i="1"/>
  <c r="T26" i="1"/>
  <c r="A26" i="1"/>
  <c r="T25" i="1"/>
  <c r="A25" i="1"/>
  <c r="T24" i="1"/>
  <c r="A24" i="1"/>
  <c r="T23" i="1"/>
  <c r="A23" i="1"/>
  <c r="T22" i="1"/>
  <c r="A22" i="1"/>
  <c r="T21" i="1"/>
  <c r="A21" i="1"/>
  <c r="T20" i="1"/>
  <c r="A20" i="1"/>
  <c r="T19" i="1"/>
  <c r="A19" i="1"/>
  <c r="T18" i="1"/>
  <c r="A18" i="1"/>
  <c r="T17" i="1"/>
  <c r="A17" i="1"/>
  <c r="T16" i="1"/>
  <c r="A16" i="1"/>
  <c r="T15" i="1"/>
  <c r="A15" i="1"/>
  <c r="T14" i="1"/>
  <c r="A14" i="1"/>
  <c r="T13" i="1"/>
  <c r="A13" i="1"/>
  <c r="T12" i="1"/>
  <c r="A12" i="1"/>
  <c r="T11" i="1"/>
  <c r="A11" i="1"/>
  <c r="T10" i="1"/>
  <c r="A10" i="1"/>
  <c r="T9" i="1"/>
  <c r="A9" i="1"/>
  <c r="T8" i="1"/>
  <c r="A8" i="1"/>
  <c r="T7" i="1"/>
  <c r="A7" i="1"/>
  <c r="T6" i="1"/>
  <c r="A6" i="1"/>
  <c r="T5" i="1"/>
  <c r="A5" i="1"/>
  <c r="T4" i="1"/>
  <c r="A4" i="1"/>
  <c r="T3" i="1"/>
  <c r="A3" i="1"/>
  <c r="T2" i="1"/>
  <c r="A2" i="1"/>
  <c r="U129" i="1" l="1"/>
  <c r="U136" i="1"/>
  <c r="U265" i="1"/>
  <c r="U120" i="1"/>
  <c r="U263" i="1"/>
  <c r="U130" i="1"/>
  <c r="U131" i="1"/>
  <c r="U241" i="1"/>
  <c r="U125" i="1"/>
  <c r="U116" i="1"/>
  <c r="U269" i="1"/>
  <c r="U271" i="1"/>
  <c r="U264" i="1"/>
  <c r="U127" i="1"/>
  <c r="U122" i="1"/>
  <c r="U118" i="1"/>
  <c r="U115" i="1"/>
  <c r="U274" i="1"/>
  <c r="U266" i="1"/>
  <c r="U117" i="1"/>
  <c r="U114" i="1"/>
  <c r="U404" i="1"/>
  <c r="U272" i="1"/>
  <c r="U268" i="1"/>
  <c r="U267" i="1"/>
  <c r="U119" i="1"/>
  <c r="U273" i="1"/>
  <c r="U128" i="1"/>
  <c r="U123" i="1"/>
  <c r="U132" i="1"/>
  <c r="U270" i="1"/>
  <c r="U135" i="1"/>
  <c r="U126" i="1"/>
  <c r="U124" i="1"/>
  <c r="U121" i="1"/>
  <c r="U133" i="1"/>
  <c r="U134" i="1"/>
  <c r="U400" i="1"/>
  <c r="U390" i="1"/>
  <c r="U388" i="1"/>
  <c r="U372" i="1"/>
  <c r="U363" i="1"/>
  <c r="U353" i="1"/>
  <c r="U351" i="1"/>
  <c r="U342" i="1"/>
  <c r="U326" i="1"/>
  <c r="U310" i="1"/>
  <c r="U300" i="1"/>
  <c r="U244" i="1"/>
  <c r="U189" i="1"/>
  <c r="U177" i="1"/>
  <c r="U167" i="1"/>
  <c r="U150" i="1"/>
  <c r="U148" i="1"/>
  <c r="U146" i="1"/>
  <c r="U105" i="1"/>
  <c r="U94" i="1"/>
  <c r="U91" i="1"/>
  <c r="U89" i="1"/>
  <c r="U87" i="1"/>
  <c r="U85" i="1"/>
  <c r="U83" i="1"/>
  <c r="U81" i="1"/>
  <c r="U55" i="1"/>
  <c r="U44" i="1"/>
  <c r="U17" i="1"/>
  <c r="U8" i="1"/>
  <c r="U262" i="1"/>
  <c r="U260" i="1"/>
  <c r="U258" i="1"/>
  <c r="U233" i="1"/>
  <c r="U223" i="1"/>
  <c r="U206" i="1"/>
  <c r="U165" i="1"/>
  <c r="U137" i="1"/>
  <c r="U77" i="1"/>
  <c r="U38" i="1"/>
  <c r="U25" i="1"/>
  <c r="U4" i="1"/>
  <c r="U2" i="1"/>
  <c r="U112" i="1"/>
  <c r="U108" i="1"/>
  <c r="U86" i="1"/>
  <c r="U63" i="1"/>
  <c r="U49" i="1"/>
  <c r="U27" i="1"/>
  <c r="U24" i="1"/>
  <c r="U22" i="1"/>
  <c r="U20" i="1"/>
  <c r="U409" i="1"/>
  <c r="U408" i="1"/>
  <c r="U406" i="1"/>
  <c r="U405" i="1"/>
  <c r="U403" i="1"/>
  <c r="U387" i="1"/>
  <c r="U385" i="1"/>
  <c r="U383" i="1"/>
  <c r="U367" i="1"/>
  <c r="U366" i="1"/>
  <c r="U357" i="1"/>
  <c r="U355" i="1"/>
  <c r="U340" i="1"/>
  <c r="U330" i="1"/>
  <c r="U314" i="1"/>
  <c r="U312" i="1"/>
  <c r="U296" i="1"/>
  <c r="U294" i="1"/>
  <c r="U292" i="1"/>
  <c r="U277" i="1"/>
  <c r="U257" i="1"/>
  <c r="U247" i="1"/>
  <c r="U232" i="1"/>
  <c r="U224" i="1"/>
  <c r="U208" i="1"/>
  <c r="U205" i="1"/>
  <c r="U203" i="1"/>
  <c r="U173" i="1"/>
  <c r="U163" i="1"/>
  <c r="U139" i="1"/>
  <c r="U102" i="1"/>
  <c r="U75" i="1"/>
  <c r="U64" i="1"/>
  <c r="U54" i="1"/>
  <c r="U52" i="1"/>
  <c r="U40" i="1"/>
  <c r="U31" i="1"/>
  <c r="U28" i="1"/>
  <c r="U18" i="1"/>
  <c r="U15" i="1"/>
  <c r="U401" i="1"/>
  <c r="U398" i="1"/>
  <c r="U396" i="1"/>
  <c r="U393" i="1"/>
  <c r="U391" i="1"/>
  <c r="U362" i="1"/>
  <c r="U345" i="1"/>
  <c r="U343" i="1"/>
  <c r="U283" i="1"/>
  <c r="U261" i="1"/>
  <c r="U259" i="1"/>
  <c r="U227" i="1"/>
  <c r="U225" i="1"/>
  <c r="U209" i="1"/>
  <c r="U193" i="1"/>
  <c r="U175" i="1"/>
  <c r="U172" i="1"/>
  <c r="U162" i="1"/>
  <c r="U160" i="1"/>
  <c r="U149" i="1"/>
  <c r="U109" i="1"/>
  <c r="U106" i="1"/>
  <c r="U104" i="1"/>
  <c r="U51" i="1"/>
  <c r="U48" i="1"/>
  <c r="U46" i="1"/>
  <c r="U34" i="1"/>
  <c r="U23" i="1"/>
  <c r="U21" i="1"/>
  <c r="U10" i="1"/>
  <c r="U412" i="1"/>
  <c r="U407" i="1"/>
  <c r="U394" i="1"/>
  <c r="U392" i="1"/>
  <c r="U371" i="1"/>
  <c r="U369" i="1"/>
  <c r="U368" i="1"/>
  <c r="U360" i="1"/>
  <c r="U325" i="1"/>
  <c r="U323" i="1"/>
  <c r="U321" i="1"/>
  <c r="U319" i="1"/>
  <c r="U306" i="1"/>
  <c r="U304" i="1"/>
  <c r="U302" i="1"/>
  <c r="U288" i="1"/>
  <c r="U251" i="1"/>
  <c r="U248" i="1"/>
  <c r="U239" i="1"/>
  <c r="U237" i="1"/>
  <c r="U231" i="1"/>
  <c r="U218" i="1"/>
  <c r="U216" i="1"/>
  <c r="U214" i="1"/>
  <c r="U212" i="1"/>
  <c r="U211" i="1"/>
  <c r="U204" i="1"/>
  <c r="U202" i="1"/>
  <c r="U201" i="1"/>
  <c r="U199" i="1"/>
  <c r="U191" i="1"/>
  <c r="U190" i="1"/>
  <c r="U188" i="1"/>
  <c r="U180" i="1"/>
  <c r="U178" i="1"/>
  <c r="U138" i="1"/>
  <c r="U101" i="1"/>
  <c r="U99" i="1"/>
  <c r="U97" i="1"/>
  <c r="U88" i="1"/>
  <c r="U73" i="1"/>
  <c r="U70" i="1"/>
  <c r="U68" i="1"/>
  <c r="U59" i="1"/>
  <c r="U35" i="1"/>
  <c r="U26" i="1"/>
  <c r="U16" i="1"/>
  <c r="U14" i="1"/>
  <c r="U5" i="1"/>
  <c r="U389" i="1"/>
  <c r="U379" i="1"/>
  <c r="U370" i="1"/>
  <c r="U335" i="1"/>
  <c r="U333" i="1"/>
  <c r="U324" i="1"/>
  <c r="U316" i="1"/>
  <c r="U286" i="1"/>
  <c r="U284" i="1"/>
  <c r="U275" i="1"/>
  <c r="U246" i="1"/>
  <c r="U230" i="1"/>
  <c r="U228" i="1"/>
  <c r="U226" i="1"/>
  <c r="U215" i="1"/>
  <c r="U213" i="1"/>
  <c r="U187" i="1"/>
  <c r="U185" i="1"/>
  <c r="U183" i="1"/>
  <c r="U181" i="1"/>
  <c r="U171" i="1"/>
  <c r="U169" i="1"/>
  <c r="U152" i="1"/>
  <c r="U142" i="1"/>
  <c r="U103" i="1"/>
  <c r="U100" i="1"/>
  <c r="U90" i="1"/>
  <c r="U72" i="1"/>
  <c r="U61" i="1"/>
  <c r="U58" i="1"/>
  <c r="U56" i="1"/>
  <c r="U29" i="1"/>
  <c r="U9" i="1"/>
  <c r="U7" i="1"/>
  <c r="U411" i="1"/>
  <c r="U397" i="1"/>
  <c r="U395" i="1"/>
  <c r="U386" i="1"/>
  <c r="U384" i="1"/>
  <c r="U382" i="1"/>
  <c r="U380" i="1"/>
  <c r="U377" i="1"/>
  <c r="U375" i="1"/>
  <c r="U350" i="1"/>
  <c r="U347" i="1"/>
  <c r="U344" i="1"/>
  <c r="U341" i="1"/>
  <c r="U339" i="1"/>
  <c r="U338" i="1"/>
  <c r="U328" i="1"/>
  <c r="U318" i="1"/>
  <c r="U308" i="1"/>
  <c r="U297" i="1"/>
  <c r="U295" i="1"/>
  <c r="U285" i="1"/>
  <c r="U282" i="1"/>
  <c r="U234" i="1"/>
  <c r="U222" i="1"/>
  <c r="U221" i="1"/>
  <c r="U220" i="1"/>
  <c r="U210" i="1"/>
  <c r="U200" i="1"/>
  <c r="U198" i="1"/>
  <c r="U197" i="1"/>
  <c r="U195" i="1"/>
  <c r="U176" i="1"/>
  <c r="U154" i="1"/>
  <c r="U143" i="1"/>
  <c r="U140" i="1"/>
  <c r="U78" i="1"/>
  <c r="U66" i="1"/>
  <c r="U53" i="1"/>
  <c r="U42" i="1"/>
  <c r="U39" i="1"/>
  <c r="U37" i="1"/>
  <c r="U6" i="1"/>
  <c r="U3" i="1"/>
  <c r="U410" i="1"/>
  <c r="U365" i="1"/>
  <c r="U361" i="1"/>
  <c r="U358" i="1"/>
  <c r="U348" i="1"/>
  <c r="U337" i="1"/>
  <c r="U327" i="1"/>
  <c r="U317" i="1"/>
  <c r="U315" i="1"/>
  <c r="U313" i="1"/>
  <c r="U311" i="1"/>
  <c r="U309" i="1"/>
  <c r="U307" i="1"/>
  <c r="U305" i="1"/>
  <c r="U303" i="1"/>
  <c r="U293" i="1"/>
  <c r="U291" i="1"/>
  <c r="U281" i="1"/>
  <c r="U279" i="1"/>
  <c r="U256" i="1"/>
  <c r="U253" i="1"/>
  <c r="U250" i="1"/>
  <c r="U249" i="1"/>
  <c r="U229" i="1"/>
  <c r="U219" i="1"/>
  <c r="U217" i="1"/>
  <c r="U207" i="1"/>
  <c r="U196" i="1"/>
  <c r="U194" i="1"/>
  <c r="U158" i="1"/>
  <c r="U155" i="1"/>
  <c r="U144" i="1"/>
  <c r="U110" i="1"/>
  <c r="U98" i="1"/>
  <c r="U95" i="1"/>
  <c r="U92" i="1"/>
  <c r="U80" i="1"/>
  <c r="U50" i="1"/>
  <c r="U47" i="1"/>
  <c r="U36" i="1"/>
  <c r="U33" i="1"/>
  <c r="U30" i="1"/>
  <c r="U19" i="1"/>
  <c r="U402" i="1"/>
  <c r="U399" i="1"/>
  <c r="U373" i="1"/>
  <c r="U364" i="1"/>
  <c r="U349" i="1"/>
  <c r="U346" i="1"/>
  <c r="U331" i="1"/>
  <c r="U329" i="1"/>
  <c r="U301" i="1"/>
  <c r="U299" i="1"/>
  <c r="U298" i="1"/>
  <c r="U289" i="1"/>
  <c r="U287" i="1"/>
  <c r="U278" i="1"/>
  <c r="U276" i="1"/>
  <c r="U255" i="1"/>
  <c r="U254" i="1"/>
  <c r="U252" i="1"/>
  <c r="U242" i="1"/>
  <c r="U240" i="1"/>
  <c r="U238" i="1"/>
  <c r="U236" i="1"/>
  <c r="U235" i="1"/>
  <c r="U186" i="1"/>
  <c r="U184" i="1"/>
  <c r="U174" i="1"/>
  <c r="U164" i="1"/>
  <c r="U161" i="1"/>
  <c r="U159" i="1"/>
  <c r="U157" i="1"/>
  <c r="U147" i="1"/>
  <c r="U145" i="1"/>
  <c r="U113" i="1"/>
  <c r="U111" i="1"/>
  <c r="U84" i="1"/>
  <c r="U65" i="1"/>
  <c r="U62" i="1"/>
  <c r="U60" i="1"/>
  <c r="U32" i="1"/>
  <c r="U12" i="1"/>
  <c r="U11" i="1"/>
  <c r="U381" i="1"/>
  <c r="U378" i="1"/>
  <c r="U376" i="1"/>
  <c r="U374" i="1"/>
  <c r="U359" i="1"/>
  <c r="U356" i="1"/>
  <c r="U354" i="1"/>
  <c r="U352" i="1"/>
  <c r="U336" i="1"/>
  <c r="U334" i="1"/>
  <c r="U332" i="1"/>
  <c r="U322" i="1"/>
  <c r="U320" i="1"/>
  <c r="U290" i="1"/>
  <c r="U280" i="1"/>
  <c r="U245" i="1"/>
  <c r="U243" i="1"/>
  <c r="U192" i="1"/>
  <c r="U182" i="1"/>
  <c r="U179" i="1"/>
  <c r="U170" i="1"/>
  <c r="U168" i="1"/>
  <c r="U166" i="1"/>
  <c r="U156" i="1"/>
  <c r="U153" i="1"/>
  <c r="U151" i="1"/>
  <c r="U141" i="1"/>
  <c r="U107" i="1"/>
  <c r="U96" i="1"/>
  <c r="U93" i="1"/>
  <c r="U82" i="1"/>
  <c r="U79" i="1"/>
  <c r="U76" i="1"/>
  <c r="U74" i="1"/>
  <c r="U71" i="1"/>
  <c r="U69" i="1"/>
  <c r="U67" i="1"/>
  <c r="U57" i="1"/>
  <c r="U45" i="1"/>
  <c r="U43" i="1"/>
  <c r="U41" i="1"/>
  <c r="U13" i="1"/>
</calcChain>
</file>

<file path=xl/sharedStrings.xml><?xml version="1.0" encoding="utf-8"?>
<sst xmlns="http://schemas.openxmlformats.org/spreadsheetml/2006/main" count="2998" uniqueCount="1960">
  <si>
    <t>Ano</t>
  </si>
  <si>
    <t>IDDocumento</t>
  </si>
  <si>
    <t>Titulo</t>
  </si>
  <si>
    <t>TipoSubTipoDoc</t>
  </si>
  <si>
    <t>NVolumeBTE</t>
  </si>
  <si>
    <t>NBTE</t>
  </si>
  <si>
    <t>DataBTE</t>
  </si>
  <si>
    <t>DataDistribuicaoBTE</t>
  </si>
  <si>
    <t>PagVersaoEscrita</t>
  </si>
  <si>
    <t>CAE</t>
  </si>
  <si>
    <t>CodigoGEPDGERT</t>
  </si>
  <si>
    <t>DocumentosEmVigor</t>
  </si>
  <si>
    <t>LinkDocEmVigor</t>
  </si>
  <si>
    <t>DocAlteradosPorEste</t>
  </si>
  <si>
    <t>DocAlteradosPorEste2</t>
  </si>
  <si>
    <t>DocAlteramEste</t>
  </si>
  <si>
    <t>SetoresAtividade</t>
  </si>
  <si>
    <t>Outorgantes</t>
  </si>
  <si>
    <t>FormulaPDF</t>
  </si>
  <si>
    <t>NomePDF</t>
  </si>
  <si>
    <t>URLPDF</t>
  </si>
  <si>
    <t>1/2026</t>
  </si>
  <si>
    <t>Portaria de extensão do contrato coletivo entre a Associação dos Agricultores do Ribatejo - Organização de Empregadores dos Distritos de Santarém, Lisboa e Leiria e o Sindicato Nacional dos Trabalhadores da Agricultura, Floresta, Pesca, Turismo, Indústria Alimentar, Bebidas e Afins - SETAAB.</t>
  </si>
  <si>
    <t>PE</t>
  </si>
  <si>
    <t>1</t>
  </si>
  <si>
    <t>BTE 16, 29/04/2025, pág. 42 (193/2025) Portaria n.º 457/2025/1 - Diário da República n.º 245/2025, Série I de 2025-12-22</t>
  </si>
  <si>
    <t>CCT.20250429.193/2025</t>
  </si>
  <si>
    <t>AGRICULTURA; AGRICULTURA, PRODUÇÃO ANIMAL, CAÇA E ATIVIDADES DOS SERVIÇOS RELACIONADOS; SILVICULTURA E EXPLORAÇÃO FLORESTAL</t>
  </si>
  <si>
    <t>2/2026</t>
  </si>
  <si>
    <t>Portaria de extensão do acordo coletivo entre a Cooperativa Agro-Pecuária da Beira Central, CRL e outras e o Sindicato Nacional dos Trabalhadores da Agricultura, Floresta, Pesca, Turismo, Indústria Alimentar, Bebidas e Afins - SETAAB e outro.</t>
  </si>
  <si>
    <t>BTE 16, 29/04/2025, pág. 128 (199/2025) Portaria n.º 451/2025/1 - Diário da República n.º 244/2025, Série I de 2025-12-19</t>
  </si>
  <si>
    <t>ACT. 20250429.199/2025</t>
  </si>
  <si>
    <t>COMÉRCIO. PRODUTOS ALIMENTARES E OUTROS; AVICULTURA; ATIVIDADES DE APOIO À PRODUÇÃO ANIMAL; COMÉRCIO POR GROSSO DE ALIMENTOS PARA ANIMAIS; COMÉRCIO POR GROSSO DE LEITE, SEUS DERIVADOS E OVOS; COMÉRCIO A RETALHO EM OUTROS ESTABELECIMENTOS NÃO ESPECIALIZADOS, SEM PREDOMINÂNCIA DE PRODUTOS ALIMENTARES, BEBIDAS OU TABACO; COMÉRCIO A RETALHO DE FLORES, PLANTAS, SEMENTES E FERTILIZANTES</t>
  </si>
  <si>
    <t>3/2026</t>
  </si>
  <si>
    <t>Portaria de extensão do contrato coletivo entre a ANEFA - Associação Nacional de Empresas Florestais, Agrícolas e do Ambiente e o Sindicato Nacional dos Trabalhadores da Agricultura, Floresta, Pesca, Turismo, Indústria Alimentar, Bebidas e Afins - SETAAB.</t>
  </si>
  <si>
    <t>BTE 19, 22/05/2025, pág. 20 (241/2025) Portaria n.º 459/2025/1 - Diário da República n.º 245/2025, Série I de 2025-12-22</t>
  </si>
  <si>
    <t>CCT.20250522.241/2025</t>
  </si>
  <si>
    <t>AGRICULTURA; ATIVIDADES DE APOIO À AGRICULTURA; SILVICULTURA E OUTRAS ATIVIDADES FLORESTAIS; EXPLORAÇÃO FLORESTAL; AQUICULTURA EM ÁGUA DOCE</t>
  </si>
  <si>
    <t>4/2026</t>
  </si>
  <si>
    <t>Portaria de extensão das alterações do contrato coletivo entre a Associação Nacional de Comerciantes e Industriais de Produtos Alimentares (ANCIPA) e a FESAHT - Federação dos Sindicatos da Agricultura, Alimentação, Bebidas, Hotelaria e Turismo de Portugal e outros (indústria de hortofrutícolas).</t>
  </si>
  <si>
    <t>BTE 17, 08/05/2025, pág. 5 (206/2025) Portaria n.º 462/2025/1 - Diário da República n.º 245/2025, Série I de 2025-12-22</t>
  </si>
  <si>
    <t>CCT-ALT.20250508.206/2025</t>
  </si>
  <si>
    <t>CONSERVAS DE FRUTOS E PRODUTOS HORTÍCOLAS; PROCESSAMENTO E CONSERVAÇÃO DE BATATAS; FABRICAÇÃO DE SUMOS DE FRUTOS E DE PRODUTOS HORTÍCOLAS; SECAGEM E DESIDRATAÇÃO DE FRUTOS E DE PRODUTOS HORTÍCOLAS; PREPARAÇÃO DE PRODUTOS AGRÍCOLAS PARA VENDA; PREPARAÇÃO E CONSERVAÇÃO DE FRUTOS E DE PRODUTOS HORTÍCOLAS POR OUTROS PROCESSOS</t>
  </si>
  <si>
    <t>5/2026</t>
  </si>
  <si>
    <t>Portaria de extensão das alterações do contrato coletivo entre a ADCP - Associação das Adegas Cooperativas de Portugal e o Sindicato dos Trabalhadores do Setor de Serviços - SITESE.</t>
  </si>
  <si>
    <t>BTE 15, 22/04/2025, pág. 47 (183/2025) Portaria n.º 454/2025/1 - Diário da República n.º 245/2025, Série I de 2025-12-22</t>
  </si>
  <si>
    <t>CCT-ALT.20250422.183/2025</t>
  </si>
  <si>
    <t>VINHOS E BEBIDAS ESPIRITUOSAS; FABRICAÇÃO DE AGUARDENTES PREPARADAS; FABRICAÇÃO DE AGUARDENTES NÃO PREPARADAS; PRODUÇÃO DE LICORES E DE OUTRAS BEBIDAS DESTILADAS; PRODUÇÃO DE VINHOS COMUNS E LICOROSOS; PRODUÇÃO DE VINHOS ESPUMANTES E ESPUMOSOS; FABRICAÇÃO DE SIDRA E OUTRAS BEBIDAS FERMENTADAS DE FRUTOS; FABRICAÇÃO DE ÁLCOOL ETÍLICO DE FERMENTAÇÃO; COMÉRCIO POR GROSSO DE BEBIDAS ALCOÓLICAS</t>
  </si>
  <si>
    <t>6/2026</t>
  </si>
  <si>
    <t>Portaria de extensão do contrato coletivo entre a ADCP - Associação das Adegas Cooperativas de Portugal e o Sindicato Nacional dos Trabalhadores da Agricultura, Floresta, Pesca, Turismo, Indústria Alimentar, Bebidas e Afins - SETAAB.</t>
  </si>
  <si>
    <t>BTE 14, 15/04/2025, pág. 115 (164/2025) Portaria n.º 452/2025/1 - Diário da República n.º 245/2025, Série I de 2025-12-22</t>
  </si>
  <si>
    <t>CCT.20250415.164/2025</t>
  </si>
  <si>
    <t>7/2026</t>
  </si>
  <si>
    <t>Portaria de extensão das alterações do contrato coletivo entre a Associação Nacional das Indústrias de Vestuário, Confecção e Moda - ANIVEC/APIV e o Sindicato das Indústrias e Afins - SINDEQ.</t>
  </si>
  <si>
    <t>BTE 19, 22/05/2025, pág. 62 (242/2025) Portaria n.º 465/2025/1 - Diário da República n.º 245/2025, Série I de 2025-12-22</t>
  </si>
  <si>
    <t>CCT-ALT.20250522.242/2025</t>
  </si>
  <si>
    <t>VESTUÁRIO; INDÚSTRIA DO VESTUÁRIO</t>
  </si>
  <si>
    <t>8/2026</t>
  </si>
  <si>
    <t>Portaria de extensão das alterações do contrato coletivo entre a Associação Portuguesa dos Industriais de Curtumes e a Federação dos Sindicatos dos Trabalhadores Têxteis, Lanifícios, Vestuário, Calçado e Peles de Portugal - FESETE.</t>
  </si>
  <si>
    <t>BTE 18, 15/05/2025, pág. 126 (227/2025) Portaria n.º 463/2025/1 - Diário da República n.º 245/2025, Série I de 2025-12-22</t>
  </si>
  <si>
    <t>CCT-ALT.20250515.227/2025</t>
  </si>
  <si>
    <t>CURTUMES; INDÚSTRIA DO COURO, DOS PRODUTOS DO COURO E PRODUTOS SIMILARES DE OUTROS MATERIAIS</t>
  </si>
  <si>
    <t>9/2026</t>
  </si>
  <si>
    <t>Portaria de extensão das alterações do contrato coletivo entre a Associação Nacional dos Industriais de Papel e Cartão - ANIPC e a Federação Intersindical das Indústrias Metalúrgicas, Químicas, Eléctricas, Farmacêutica, Celulose, Papel, Gráfica, Imprensa, Energia e Minas - FIEQUIMETAL.</t>
  </si>
  <si>
    <t>BTE 16, 29/04/2025, pág. 68 (194/2025) Portaria n.º 458/2025/1 - Diário da República n.º 245/2025, Série I de 2025-12-22</t>
  </si>
  <si>
    <t>CCT-ALT.20250429.194/2025</t>
  </si>
  <si>
    <t>PASTA PAPEL E CARTÃO; FABRICAÇÃO DE PAPEL E DE CARTÃO (EXCETO CANELADO); FABRICAÇÃO DE PAPEL E DE CARTÃO CANELADOS (INCLUI EMBALAGENS); RECOLHA DE RESÍDUOS INERTES; COMÉRCIO POR GROSSO DE DESPERDÍCIOS TÊXTEIS, DE CARTÃO E PAPÉIS VELHOS</t>
  </si>
  <si>
    <t>10/2026</t>
  </si>
  <si>
    <t>Portaria de extensão das alterações do contrato coletivo entre a Associação Portuguesa da Indústria de Ourivesaria - APIO e a Federação Intersindical das Indústrias Metalúrgicas, Químicas, Eléctricas, Farmacêutica, Celulose, Papel, Gráfica, Imprensa, Energia e Minas - FIEQUIMETAL.</t>
  </si>
  <si>
    <t>BTE 17, 08/05/2025, pág. 68 (209/2025) Portaria n.º 461/2025/1 - Diário da República n.º 245/2025, Série I de 2025-12-22</t>
  </si>
  <si>
    <t>CCT-ALT.20250508.209/2025</t>
  </si>
  <si>
    <t>OURIVESARIA E RELOJOARIA; FABRICAÇÃO DE OUTROS PRODUTOS METÁLICOS DIVERSOS, N.E.; FABRICAÇÃO DE RELÓGIOS E MATERIAL DE RELOJOARIA; CUNHAGEM DE MOEDAS; FABRICAÇÃO DE FILIGRANAS; FABRICAÇÃO DE ARTIGOS DE JOALHARIA E DE OUTROS ARTIGOS DE OURIVESARIA; TRABALHO DE DIAMANTES E DE OUTRAS PEDRAS PRECIOSAS OU SEMIPRECIOSAS PARA JOALHARIA E USO INDUSTRIAL; REPARAÇÃO E MANUTENÇÃO DE RELÓGIOS E DE ARTIGOS DE JOALHARIA</t>
  </si>
  <si>
    <t>11/2026</t>
  </si>
  <si>
    <t>Portaria de extensão das alterações do contrato coletivo entre a Associação dos Industriais da Construção Civil e Obras Públicas - AICCOPN e o Sindicato da Construção, Obras Públicas e Serviços - SETACCOP e outros.</t>
  </si>
  <si>
    <t>BTE 18, 15/05/2025, pág. 179 (229/2025) Portaria n.º 464/2025/1 - Diário da República n.º 245/2025, Série I de 2025-12-22</t>
  </si>
  <si>
    <t>CCT-ALT.20250515.229/2025</t>
  </si>
  <si>
    <t>CONSTRUÇÃO E OBRAS PÚBLICAS; CONSTRUÇÃO DE EDIFÍCIOS RESIDENCIAIS E NÃO RESIDENCIAIS; ENGENHARIA CIVIL; ATIVIDADES ESPECIALIZADAS DE CONSTRUÇÃO</t>
  </si>
  <si>
    <t>12/2026</t>
  </si>
  <si>
    <t>Portaria de extensão das alterações do contrato coletivo entre a Associação dos Comerciantes de Carnes de Portugal - ACCP e outras e o Sindicato dos Trabalhadores da Indústria e Comércio de Carnes do Sul.</t>
  </si>
  <si>
    <t>BTE 17, 08/05/2025, pág. 76 (211/2025) Portaria n.º 456/2025/1 - Diário da República n.º 245/2025, Série I de 2025-12-22</t>
  </si>
  <si>
    <t>CCT-ALT.20250508.211/2025</t>
  </si>
  <si>
    <t>CARNES. COMÉRCIO; COMÉRCIO A RETALHO DE CARNE E PRODUTOS À BASE DE CARNE</t>
  </si>
  <si>
    <t>13/2026</t>
  </si>
  <si>
    <t>Portaria de extensão das alterações do acordo de empresa entre a Portway - Handling de Portugal, SA e o Sindicato dos Trabalhadores da Marinha Mercante, Agências de Viagens, Transitários e Pesca (SIMAMEVIP) e outros.</t>
  </si>
  <si>
    <t>BTE 16, 29/04/2025, pág. 161 (200/2025) Portaria n.º 453/2025/1 - Diário da República n.º 245/2025, Série I de 2025-12-22</t>
  </si>
  <si>
    <t>AE-ALT.20250429.200/2025</t>
  </si>
  <si>
    <t>TRANSPORTES AÉREOS; ATIVIDADES AUXILIARES DOS TRANSPORTES AÉREOS</t>
  </si>
  <si>
    <t>14/2026</t>
  </si>
  <si>
    <t>Portaria de extensão das alterações do contrato coletivo entre a Associação Portuguesa das Agências de Viagens e Turismo - APAVT e o Sindicato dos Trabalhadores da Marinha Mercante, Agências de Viagens, Transitários e Pesca (SIMAMEVIP).</t>
  </si>
  <si>
    <t>BTE 17, 08/05/2025, pág. 101 (212/2025) Portaria n.º 460/2025/1 - Diário da República n.º 245/2025, Série I de 2025-12-22</t>
  </si>
  <si>
    <t>CCT-ALT.20250508.212/2025</t>
  </si>
  <si>
    <t>AGÊNCIAS DE VIAGENS; ATIVIDADES DAS AGÊNCIAS DE VIAGENS; ATIVIDADES DOS OPERADORES TURÍSTICOS; OUTROS SERVIÇOS DE RESERVAS E ATIVIDADES RELACIONADAS</t>
  </si>
  <si>
    <t>15/2026</t>
  </si>
  <si>
    <t>Portaria de extensão das alterações do contrato coletivo entre a GROQUIFAR - Associação de Grossistas de Produtos Químicos e Farmacêuticos e a Federação Intersindical das Indústrias Metalúrgicas, Químicas, Eléctricas, Farmacêutica, Celulose, Papel, Gráfica, Imprensa, Energia e Minas - FIEQUIMETAL (gestão de pragas e saúde ambiental).</t>
  </si>
  <si>
    <t>BTE 15, 22/04/2025, pág. 85 (184/2025) Portaria n.º 455/2025/1 - Diário da República n.º 245/2025, Série I de 2025-12-22</t>
  </si>
  <si>
    <t>CCT-ALT.20250422.184/2025</t>
  </si>
  <si>
    <t>DESINFECÇÃO E DESINFESTAÇÃO; ATIVIDADES DE DESINFEÇÃO, DESRATIZAÇÃO E SIMILARES</t>
  </si>
  <si>
    <t>16/2026</t>
  </si>
  <si>
    <t>Acordo coletivo entre a BRISA - Auto Estradas de Portugal, SA e outras e o Sindicato da Construção, Obras Públicas e Serviços - SETACCOP e outros - Revisão global.</t>
  </si>
  <si>
    <t>ACT</t>
  </si>
  <si>
    <t>ACT.20241108.484/2024</t>
  </si>
  <si>
    <t>CONSTRUÇÃO E OBRAS PÚBLICAS; REPARAÇÃO E MANUTENÇÃO DE EQUIPAMENTO ELETRÓNICO E ÓTICO; INSTALAÇÃO DE MÁQUINAS E DE EQUIPAMENTOS INDUSTRIAIS; CONSTRUÇÃO DE ESTRADAS E AUTOESTRADAS; GESTÃO DE INFRAESTRUTURAS DOS TRANSPORTES TERRESTRES; ASSISTÊNCIA A VEÍCULOS NA ESTRADA; OUTRAS ATIVIDADES AUXILIARES DOS TRANSPORTES TERRESTRES; ATIVIDADES DAS SEDES SOCIAIS; ATIVIDADES DE CONSULTORIA PARA OS NEGÓCIOS E OUTRA CONSULTORIA PARA A GESTÃO; ATIVIDADES DE ENGENHARIA E TÉCNICAS AFINS; OUTRAS ATIVIDADES DE CONSULTORIA, CIENTÍFICAS, TÉCNICAS E SIMILARES, DIVERSAS, N. E., EXCETO AGENTES DE PROFISSIONAIS DESPORTIVOS</t>
  </si>
  <si>
    <t>BRISA - Auto Estradas de Portugal, SA; Via Verde Portugal - Gestão de Sistemas Electrónicos de Cobrança, SA; BRISA O&amp;M, SA; ATOBE - Mobility Technology, SA; BGI - BRISA Gestão de Infraestruturas, SA; BRISA - Concessão Rodoviária, SA; BRISAL - Auto-Estradas do Litoral, SA; Via Verde Serviços, SA; Sindicato da Construção, Obras Públicas e Serviços - SETACCOP; Sindicato dos Trabalhadores do Setor de Serviços - SITESE; FEPCES - Federação Portuguesa dos Sindicatos do Comércio, Escritórios e Serviços; Federação dos Sindicatos de Transportes e Comunicações - FECTRANS; Federação Portuguesa dos Sindicatos da Construção, Cerâmica e Vidro - FEVICCOM; SINDEL - Sindicato Nacional da Indústria e da Energia</t>
  </si>
  <si>
    <t>17/2026</t>
  </si>
  <si>
    <t>Acordo de empresa entre a OGMA - Indústria Aeronáutica de Portugal, SA e o SIA - Sindicato da Indústria Aeronáutica e outros - Alteração salarial e outras.</t>
  </si>
  <si>
    <t>AE-ALT</t>
  </si>
  <si>
    <t>BTE 14, 15/04/2025, pág. 288 (170/2025)</t>
  </si>
  <si>
    <t>AE.20250415.170/2025</t>
  </si>
  <si>
    <t>FABRICAÇÃO DE AERONAVES E DE VEÍCULOS ESPACIAIS; REPARAÇÃO E MANUTENÇÃO DE AERONAVES E DE VEÍCULOS ESPACIAIS CIVIS; FABRICAÇÃO DE AERONAVES E VEÍCULOS ESPACIAIS CIVIS E EQUIPAMENTO RELACIONADO; REMUNERAÇÕES; SUBSÍDIO DE TURNO; SUBSÍDIO DE REFEIÇÃO; REFEITÓRIOS; SUBSÍDIO DE ESTUDO; SUBSÍDIO DE FORMAÇÃO; CERTIFICADO DE COMPETÊNCIAS</t>
  </si>
  <si>
    <t>OGMA - Indústria Aeronáutica de Portugal, SA; SIA - Sindicato da Indústria Aeronáutica; Sindicato Nacional dos Trabalhadores da Aviação Civil - SINTAC; Sindicato dos Trabalhadores da Aviação e Aeroportos - SITAVA; Sindicato dos Técnicos de Manutenção de Aeronaves - SITEMA; STAMA - Sindicato dos Trabalhadores dos Aeroportos, Manutenção e Aviação; STEFFAs, Sindicato dos Trabalhadores Civis das Forças Armadas, Estabelecimentos Fabris e Empresas de Defesa</t>
  </si>
  <si>
    <t>18/2026</t>
  </si>
  <si>
    <t>Acordo de empresa entre a Sociedade de Transportes Colectivos do Porto, EIM, SA (STCP, EIM, SA) e a Associação Sindical de Trabalhadores dos Transportes Coletivos do Porto (SMTP) - Alteração salarial e outras e texto consolidado.</t>
  </si>
  <si>
    <t>AE-ALT.20230609.250/2023</t>
  </si>
  <si>
    <t>TRANSPORTES TERRESTRES; TRANSPORTE RODOVIÁRIO REGULAR, URBANO E SUBURBANO DE PASSAGEIROS</t>
  </si>
  <si>
    <t>Sociedade de Transportes Colectivos do Porto, EIM, SA (STCP, EIM, SA); Associação Sindical de Trabalhadores dos Transportes Coletivos do Porto (SMTP)</t>
  </si>
  <si>
    <t>19/2026</t>
  </si>
  <si>
    <t>Acordo de empresa entre a Sociedade de Transportes Colectivos do Porto, EIM, SA (STCP, EIM, SA) e o Sindicato dos Trabalhadores dos Transportes - SITRA - Alteração salarial e outras e texto consolidado.</t>
  </si>
  <si>
    <t>AE-ALT.20230609.249/2023</t>
  </si>
  <si>
    <t>Sociedade de Transportes Colectivos do Porto, EIM, SA (STCP, EIM, SA); Sindicato dos Trabalhadores dos Transportes - SITRA</t>
  </si>
  <si>
    <t>20/2026</t>
  </si>
  <si>
    <t>Acordo de empresa entre a Sociedade de Transportes Colectivos do Porto, EIM, SA (STCP, EIM, SA) e o Sindicato dos Trabalhadores dos Transportes de Portugal - STTAMP - Alteração salarial e outras e texto consolidado.</t>
  </si>
  <si>
    <t>AE-ALT.20230529.230/2023</t>
  </si>
  <si>
    <t>Sociedade de Transportes Colectivos do Porto, EIM, SA (STCP, EIM, SA); Sindicato dos Trabalhadores dos Transportes de Portugal - STTAMP</t>
  </si>
  <si>
    <t>21/2026</t>
  </si>
  <si>
    <t>Acordo de empresa entre a Sociedade de Transportes Colectivos do Porto, EIM, SA (STCP, EIM, SA) e o Sindicato Nacional dos Motoristas e Outros Trabalhadores - SNMOT - Alteração salarial e outras e texto consolidado.</t>
  </si>
  <si>
    <t>Sociedade de Transportes Colectivos do Porto, EIM, SA (STCP, EIM, SA); Sindicato Nacional dos Motoristas e Outros Trabalhadores - SNMOT</t>
  </si>
  <si>
    <t>22/2026</t>
  </si>
  <si>
    <t>Portaria de extensão das alterações do contrato coletivo entre a Associação Nacional de Comerciantes e Industriais de Produtos Alimentares (ANCIPA) e o Sindicato dos Trabalhadores do Setor de Serviços - SITESE (confeitaria e conservação de fruta - administrativos).</t>
  </si>
  <si>
    <t>2</t>
  </si>
  <si>
    <t>BTE 23, 22/06/2025, pág. 54 (293/2025) Portaria n.º 12/2026/1 - Diário da República n.º 2/2026, Série I de 2026-01-05</t>
  </si>
  <si>
    <t>CCT-ALT.20250623.293/2025</t>
  </si>
  <si>
    <t>CONFEITARIA; PASTELARIA FRESCA; FABRICAÇÃO DE PRODUTOS DE CONFEITARIA</t>
  </si>
  <si>
    <t>23/2026</t>
  </si>
  <si>
    <t>Portaria de extensão das alterações do contrato coletivo entre a Associação Nacional dos Industriais de Lanifícios (ANIL) e outra e o Sindicato das Indústrias e Afins - SINDEQ.</t>
  </si>
  <si>
    <t>BTE 18, 15/05/2025, pág. 121 (226/2025) Portaria n.º 11/2026/1 - Diário da República n.º 2/2026, Série I de 2026-01-05</t>
  </si>
  <si>
    <t>CCT-ALT.20250515.226/2025</t>
  </si>
  <si>
    <t>TÊXTIL; FABRICAÇÃO DE TÊXTEIS</t>
  </si>
  <si>
    <t>24/2026</t>
  </si>
  <si>
    <t>Portaria de extensão das alterações do contrato coletivo entre a Associação Portuguesa das Empresas do Sector Eléctrico e Electrónico e a FE - Federação dos Engenheiros e outros.</t>
  </si>
  <si>
    <t>BTE 18, 15/05/2025, pág. 130 (228/2025) Portaria n.º 9/2026/1 - Diário da República n.º 2/2026, Série I de 2026-01-05</t>
  </si>
  <si>
    <t>CCT-ALT.20250515.228/2025</t>
  </si>
  <si>
    <t>MATERIAL ELÉCTRICO E ELECTRÓNICO; FABRICAÇÃO DE EQUIPAMENTOS INFORMÁTICOS E PARA COMUNICAÇÕES, PRODUTOS ELETRÓNICOS E ÓTICOS; FABRICAÇÃO DE EQUIPAMENTO ELÉTRICO</t>
  </si>
  <si>
    <t>25/2026</t>
  </si>
  <si>
    <t>Portaria de extensão das alterações do contrato coletivo entre a Associação Portuguesa de Editores e Livreiros e o Sindicato dos Trabalhadores do Setor de Serviços - SITESE.</t>
  </si>
  <si>
    <t>BTE 19, 22/05/2025, pág. 65 (243/2025) Portaria n.º 10/2026/1 - Diário da República n.º 2/2026, Série I de 2026-01-05</t>
  </si>
  <si>
    <t>CCT-ALT.20250522.243/2025</t>
  </si>
  <si>
    <t>EDIÇÃO DE PUBLICAÇÕES; OUTRAS INDÚSTRIAS TRANSFORMADORAS DIVERSAS, N.E.; EDIÇÃO DE LIVROS; OUTRAS ATIVIDADES DE EDIÇÃO, EXCETO EDIÇÃO DE PROGRAMAS INFORMÁTICOS</t>
  </si>
  <si>
    <t>26/2026</t>
  </si>
  <si>
    <t>Portaria de extensão do contrato coletivo entre a Associação Comercial e Empresarial do Distrito de Aveiro (ACA) e o CESP - Sindicato dos Trabalhadores do Comércio, Escritórios e Serviços de Portugal e outro.</t>
  </si>
  <si>
    <t>BTE 22, 15/06/2025, pág. 4 (278/2025) Portaria n.º 6/2026/1 - Diário da República n.º 2/2026, Série I de 2026-01-05</t>
  </si>
  <si>
    <t>CCT.20250616.278/2025</t>
  </si>
  <si>
    <t>COMÉRCIO. AVEIRO; COMÉRCIO POR GROSSO; COMÉRCIO A RETALHO</t>
  </si>
  <si>
    <t>27/2026</t>
  </si>
  <si>
    <t>Portaria de extensão das alterações do contrato coletivo entre a GROQUIFAR - Associação de Grossistas de Produtos Químicos e Farmacêuticos e a Federação de Sindicatos da Indústria, Energia e Transportes - COFESINT e outra (produtos farmacêuticos).</t>
  </si>
  <si>
    <t>BTE 21, 08/06/2025, pág. 76 (264/2025) Portaria n.º 8/2026/1 - Diário da República n.º 2/2026, Série I de 2026-01-05</t>
  </si>
  <si>
    <t>CCT-ALT.20250609.264/2025</t>
  </si>
  <si>
    <t>PRODUTOS FARMACÊUTICOS; COMÉRCIO POR GROSSO DE PRODUTOS FARMACÊUTICOS E MÉDICOS</t>
  </si>
  <si>
    <t>28/2026</t>
  </si>
  <si>
    <t>Portaria de extensão das alterações do contrato coletivo entre a GROQUIFAR - Associação de Grossistas de Produtos Químicos e Farmacêuticos e o Sindicato das Indústrias e Afins - SINDEQ (produtos farmacêuticos).</t>
  </si>
  <si>
    <t>BTE 21, 08/06/2025, pág. 108 (265/2025) Portaria n.º 7/2026/1 - Diário da República n.º 2/2026, Série I de 2026-01-05</t>
  </si>
  <si>
    <t>CCT-ALT.20250609.265/2025</t>
  </si>
  <si>
    <t>29/2026</t>
  </si>
  <si>
    <t>Portaria de extensão das alterações do contrato coletivo entre a RENA - Associação das Companhias Aéreas em Portugal e o Sindicato dos Trabalhadores da Aviação e Aeroportos - SITAVA e outro.</t>
  </si>
  <si>
    <t>BTE 21, 08/06/2025, pág. 115 (267/2025) Portaria n.º 5/2026/1 - Diário da República n.º 2/2026, Série I de 2026-01-05</t>
  </si>
  <si>
    <t>CCT-ALT.20250609.267/2025</t>
  </si>
  <si>
    <t>TRANSPORTES AÉREOS; TRANSPORTES AÉREOS DE PASSAGEIROS; TRANSPORTES AÉREOS DE MERCADORIAS</t>
  </si>
  <si>
    <t>30/2026</t>
  </si>
  <si>
    <t>Acordo de empresa entre a ADP Fertilizantes, SA e a Federação de Sindicatos da Indústria, Energia e Transportes - COFESINT e outros - Alteração salarial e outras.</t>
  </si>
  <si>
    <t>BTE 34, 15/09/2023, pág. 35 (415/2023) e BTE 34, 15/09/2024, pág. 280 (406/2024)</t>
  </si>
  <si>
    <t>AE-ALT.20240916.406/2024</t>
  </si>
  <si>
    <t>QUÍMICAS. INDÚSTRIA; FABRICAÇÃO DE ADUBOS QUÍMICOS OU MINERAIS E DE COMPOSTOS AZOTADOS; COMÉRCIO POR GROSSO DE PRODUTOS QUÍMICOS; REMUNERAÇÕES; DESLOCAÇÕES; SUBSÍDIO DE DESLOCAÇÃO; SEGURO DO PESSOAL DESLOCADO; SUBSÍDIO DE TURNO; SUBSÍDIO DE FUNERAL; SUBSÍDIO DE ALIMENTAÇÃO; DIUTURNIDADES; ENQUADRAMENTO PROFISSIONAL</t>
  </si>
  <si>
    <t>ADP Fertilizantes, SA; Federação de Sindicatos da Indústria, Energia e Transportes - COFESINT; FE - Federação dos Engenheiros; Sindicato de Quadros e Técnicos - SENSIQ</t>
  </si>
  <si>
    <t>31/2026</t>
  </si>
  <si>
    <t>Acordo de empresa entre a ADP Fertilizantes, SA e a Federação Intersindical das Indústrias Metalúrgicas, Químicas, Eléctricas, Farmacêutica, Celulose, Papel, Gráfica, Imprensa, Energia e Minas - FIEQUIMETAL e outras - Alteração salarial e outras.</t>
  </si>
  <si>
    <t>BTE 34, 15/09/2023, pág. 86 (416/2023) e BTE 34, 15/09/2024, pág. 286 (407/2024)</t>
  </si>
  <si>
    <t>AE-ALT.20240916.407/2024</t>
  </si>
  <si>
    <t>ADP Fertilizantes, SA; Federação Intersindical das Indústrias Metalúrgicas, Químicas, Eléctricas, Farmacêutica, Celulose, Papel, Gráfica, Imprensa, Energia e Minas - FIEQUIMETAL; Federação Portuguesa dos Sindicatos da Construção, Cerâmica e Vidro - FEVICCOM; Federação dos Sindicatos de Transportes e Comunicações - FECTRANS</t>
  </si>
  <si>
    <t>32/2026</t>
  </si>
  <si>
    <t>Acordo de empresa entre a ADP Fertilizantes, SA e o Sindicato dos Trabalhadores do Setor de Serviços - SITESE - Alteração salarial e outras.</t>
  </si>
  <si>
    <t>BTE 34, 15/09/2023, pág. 138 (417/2023) e BTE 34, 15/09/2024, pág. 292 (408/2024)</t>
  </si>
  <si>
    <t>AE-ALT.20240916.408/2024</t>
  </si>
  <si>
    <t>ADP Fertilizantes, SA; Sindicato dos Trabalhadores do Setor de Serviços - SITESE</t>
  </si>
  <si>
    <t>33/2026</t>
  </si>
  <si>
    <t>Acordo de adesão entre a Agência de Gestão da Tesouraria e da Dívida Pública - IGCP, EPE e o Sindicato da Banca, Seguros e Tecnologias - MAIS SINDICATO e outros ao acordo coletivo entre várias instituições de crédito e as mesmas associações sindicais.</t>
  </si>
  <si>
    <t>ADESÃO</t>
  </si>
  <si>
    <t>BTE 11, 22/03/2025, pág. 135 (121/2025)</t>
  </si>
  <si>
    <t>ACT-ALT.20250324.121/2025</t>
  </si>
  <si>
    <t>INSTITUIÇÕES DE CRÉDITO; REGULAÇÃO E PROMOÇÃO DA EFICIÊNCIA DA ATIVIDADE ECONÓMICA</t>
  </si>
  <si>
    <t>Agência de Gestão da Tesouraria e da Dívida Pública - IGCP, EPE; Sindicato da Banca, Seguros e Tecnologias - MAIS SINDICATO; SBC - Sindicato Nacional dos Trabalhadores da Banca, Seguros e Tecnologias; SBN - Sindicato dos Trabalhadores do Setor Financeiro de Portugal</t>
  </si>
  <si>
    <t>34/2026</t>
  </si>
  <si>
    <t>Acordo coletivo de trabalho n.º 1/2026 - Acordo coletivo de empregador público entre a Freguesia de Vila Nova de Milfontes e o STAL - Sindicato Nacional dos Trabalhadores da Administração Local e Regional, Empresas Públicas, Concessionárias e Afins.</t>
  </si>
  <si>
    <t>3</t>
  </si>
  <si>
    <t>Acordo Coletivo de Trabalho n.º 11/2021 - Diário da República n.º 17/2021, Série II de 2021-01-26</t>
  </si>
  <si>
    <t>EMPREGO PÚBLICO; ADMINISTRAÇÃO LOCAL</t>
  </si>
  <si>
    <t>Freguesia de Vila Nova de Milfontes; STAL - Sindicato Nacional dos Trabalhadores da Administração Local e Regional, Empresas Públicas, Concessionárias e Afins</t>
  </si>
  <si>
    <t>35/2026</t>
  </si>
  <si>
    <t>Acordo de empresa entre o Banco de Portugal e o Sindicato Nacional dos Quadros e Técnicos Bancários - Alteração salarial e outras.</t>
  </si>
  <si>
    <t>BTE 48, 29/12/2018, pág. 4611 (401/2018)</t>
  </si>
  <si>
    <t>AE.20190102.401/2018</t>
  </si>
  <si>
    <t>INSTITUIÇÕES DE CRÉDITO; BANCO CENTRAL; REMUNERAÇÕES; CARGOS DE DIREÇÃO E CHEFIA; GARANTIAS DOS TRABALHADORES; PAUSA DIGITAL; PROTEÇÃO DE DADOS PESSOAIS; COMISSÃO DE SERVIÇO; DISPENSA DE SERVIÇO; FALTAS JUSTIFICADAS; PODER DISCIPLINAR; CONTRIBUIÇÕES PARA A SEGURANÇA SOCIAL; CATEGORIA PROFISSIONAL; DEFINIÇÃO DE FUNÇÕES; PENSÃO DE REFORMA; INDEMNIZAÇÃO POR MORTE; DIUTURNIDADES; SUBSÍDIO DE REFEIÇÃO; SUBSÍDIO DE CLAVICULÁRIO; ABONO PARA FALHAS; DESLOCAÇÕES; SUBSÍDIO A TRABALHADOR ESTUDANTE; SUBSÍDIO INFANTIL; SUBSÍDIO DE ESTUDO; SUBSÍDIO DE NASCIMENTO; EMPRÉSTIMO PARA HABITAÇÃO</t>
  </si>
  <si>
    <t>Banco de Portugal; Sindicato Nacional dos Quadros e Técnicos Bancários</t>
  </si>
  <si>
    <t>36/2026</t>
  </si>
  <si>
    <t>Acordo de empresa entre a Transportes Aéreos Portugueses, SA e o Sindicato dos Trabalhadores da Aviação e Aeroportos - SITAVA e outro - Deliberação da comissão paritária.</t>
  </si>
  <si>
    <t>AE-DELI</t>
  </si>
  <si>
    <t>BTE 9, 08/03/2024, pág. 226 (113/2024) e BTE 47, 22/12/2024, pág. 94 (537/2024)</t>
  </si>
  <si>
    <t>AE-ALT.20241223.537/2024</t>
  </si>
  <si>
    <t>TRANSPORTES AÉREOS; TRANSPORTES AÉREOS DE PASSAGEIROS; TRANSPORTES AÉREOS DE MERCADORIAS; REPARAÇÃO E MANUTENÇÃO DE AERONAVES E DE VEÍCULOS ESPACIAIS CIVIS; COMISSÃO PARITÁRIA; CATEGORIA PROFISSIONAL; CARREIRA PROFISSIONAL</t>
  </si>
  <si>
    <t>Transportes Aéreos Portugueses, SA; Sindicato dos Trabalhadores da Aviação e Aeroportos - SITAVA; STHAA - Sindicato dos Trabalhadores de Handling, da Aviação e Aeroportos</t>
  </si>
  <si>
    <t>37/2026</t>
  </si>
  <si>
    <t>Acordo de empresa entre a Transportes Aéreos Portugueses, SA e o SPAC - Sindicato dos Pilotos da Aviação Civil - Deliberação da comissão paritária.</t>
  </si>
  <si>
    <t>BTE 29, 08/08/2023, pág. 262 (361/2023)</t>
  </si>
  <si>
    <t>AE.20230808.361/2023</t>
  </si>
  <si>
    <t>TRANSPORTES AÉREOS; TRANSPORTES AÉREOS DE PASSAGEIROS; TRANSPORTES AÉREOS DE MERCADORIAS; REPARAÇÃO E MANUTENÇÃO DE AERONAVES E DE VEÍCULOS ESPACIAIS CIVIS; COMISSÃO PARITÁRIA; PENSÃO DE REFORMA; REFORMA ANTECIPADA; COMPLEMENTO DA PENSÃO DE REFORMA; PRÉMIO DE REFORMA</t>
  </si>
  <si>
    <t>Transportes Aéreos Portugueses, SA; SPAC - Sindicato dos Pilotos da Aviação Civil</t>
  </si>
  <si>
    <t>38/2026</t>
  </si>
  <si>
    <t>Acordo de adesão entre a Associação Portuguesa dos Industriais de Calçado, Componentes e Artigos de Pele e Seus Sucedâneos - APICCAPS e o Sindicato das Indústrias Metalúrgicas e Afins - SIMA ao contrato coletivo entre a mesma associação de empregadores e a Federação dos Sindicatos dos Trabalhadores Têxteis, Lanifícios, Vestuário, Calçado e Peles de Portugal - FESETE.</t>
  </si>
  <si>
    <t>BTE 1, 08/01/2022, pág. 45 (3/2022) e BTE 26, 15/07/2025, pág. 70 (329/2025)</t>
  </si>
  <si>
    <t>CCT-ALT.20250715.329/2025</t>
  </si>
  <si>
    <t>CALÇADO MALAS E AFINS; FABRICAÇÃO DE ARTIGOS DE VIAGEM, MARROQUINARIA, ARREIOS E SELAS DE QUALQUER MATERIAL; FABRICAÇÃO DE CALÇADO; FABRICAÇÃO DE COMPONENTES PARA CALÇADO; COMÉRCIO POR GROSSO DE CALÇADO</t>
  </si>
  <si>
    <t>Associação Portuguesa dos Industriais de Calçado, Componentes e Artigos de Pele e Seus Sucedâneos - APICCAPS; Sindicato das Indústrias Metalúrgicas e Afins - SIMA</t>
  </si>
  <si>
    <t>39/2026</t>
  </si>
  <si>
    <t>Aviso n.º 1/2026 - Alteração e texto consolidado ao Acordo Coletivo de Trabalho n.º 53/2016 entre o Município de Figueiró dos Vinhos e o Sindicato dos Trabalhadores da Administração Pública e de Entidades com Fins Públicos - SINTAP.</t>
  </si>
  <si>
    <t>AVISO</t>
  </si>
  <si>
    <t>4</t>
  </si>
  <si>
    <t>Acordo Coletivo de Trabalho n.º 53/2016 - Diário da República n.º 7/2016, Série II de 2016-01-12</t>
  </si>
  <si>
    <t>Município de Figueiró dos Vinhos; Sindicato dos Trabalhadores da Administração Pública e de Entidades com Fins Públicos - SINTAP</t>
  </si>
  <si>
    <t>40/2026</t>
  </si>
  <si>
    <t>Portaria de extensão das alterações do contrato coletivo entre a Associação dos Industriais Metalúrgicos, Metalomecânicos e Afins de Portugal - AIMMAP e o SINDEL - Sindicato Nacional da Indústria e da Energia.</t>
  </si>
  <si>
    <t>BTE 24, 29/06/2025, pág. 99 (305/2025) Portaria n.º 27/2026/1 - Diário da República n.º 14/2026, Série I de 2026-01-21</t>
  </si>
  <si>
    <t>CCT-ALT.20250630.305/2025</t>
  </si>
  <si>
    <t>METALURGIA; INDÚSTRIAS METALÚRGICAS DE BASE; FABRICAÇÃO DE PRODUTOS METÁLICOS, EXCETO MÁQUINAS E EQUIPAMENTOS</t>
  </si>
  <si>
    <t>41/2026</t>
  </si>
  <si>
    <t>Portaria de extensão do contrato coletivo entre a ACIFF - Associação Comercial e Industrial da Figueira da Foz - Associação Empresarial Regional e o CESP - Sindicato dos Trabalhadores do Comércio, Escritórios e Serviços de Portugal.</t>
  </si>
  <si>
    <t>BTE 20, 29/05/2025, pág. 4 (248/2025) Portaria n.º 22/2026/1 - Diário da República n.º 14/2026, Série I de 2026-01-21</t>
  </si>
  <si>
    <t>CCT.20250529.248/2025</t>
  </si>
  <si>
    <t>COMÉRCIO. COIMBRA; COMÉRCIO A RETALHO</t>
  </si>
  <si>
    <t>42/2026</t>
  </si>
  <si>
    <t>Portaria de extensão das alterações do contrato coletivo entre a GROQUIFAR - Associação de Grossistas de Produtos Químicos e Farmacêuticos e a Federação Intersindical das Indústrias Metalúrgicas, Químicas, Eléctricas, Farmacêutica, Celulose, Papel, Gráfica, Imprensa, Energia e Minas - FIEQUIMETAL (produtos farmacêuticos e ou veterinários).</t>
  </si>
  <si>
    <t>BTE 25, 08/07/2025, pág. 72 (318/2025) Portaria n.º 29/2026/1 - Diário da República n.º 14/2026, Série I de 2026-01-21</t>
  </si>
  <si>
    <t>CCT-ALT.20250708.318/2025</t>
  </si>
  <si>
    <t>43/2026</t>
  </si>
  <si>
    <t>Portaria de extensão das alterações do contrato coletivo entre a GROQUIFAR - Associação de Grossistas de Produtos Químicos e Farmacêuticos e o Sindicato dos Trabalhadores do Setor de Serviços - SITESE (produtos farmacêuticos).</t>
  </si>
  <si>
    <t>BTE 19, 22/05/2025, pág. 72 (244/2025) Portaria n.º 23/2026/1 - Diário da República n.º 14/2026, Série I de 2026-01-21</t>
  </si>
  <si>
    <t>CCT-ALT.20250522.244/2025</t>
  </si>
  <si>
    <t>44/2026</t>
  </si>
  <si>
    <t>Portaria de extensão das alterações do contrato coletivo entre a Associação Portuguesa de Empresas de Distribuição - APED e o Sindicato dos Trabalhadores do Setor de Serviços - SITESE.</t>
  </si>
  <si>
    <t>BTE 21, 08/06/2025, pág. 111 (266/2025) Portaria n.º 25/2026/1 - Diário da República n.º 14/2026, Série I de 2026-01-21</t>
  </si>
  <si>
    <t>CCT-ALT.20250609.266/2025</t>
  </si>
  <si>
    <t>SUPERMERCADOS E HIPERMERCADOS; COMÉRCIO A RETALHO EM SUPERMERCADOS E HIPERMERCADOS</t>
  </si>
  <si>
    <t>45/2026</t>
  </si>
  <si>
    <t>Portaria de extensão das alterações do contrato coletivo entre a APHORT - Associação Portuguesa de Hotelaria, Restauração e Turismo e o Sindicato dos Trabalhadores do Setor de Serviços - SITESE.</t>
  </si>
  <si>
    <t>BTE 24, 29/06/2025, pág. 103 (307/2025) Portaria n.º 28/2026/1 - Diário da República n.º 14/2026, Série I de 2026-01-21</t>
  </si>
  <si>
    <t>CCT-ALT.20250630.307/2025</t>
  </si>
  <si>
    <t>HOTELARIA; ALOJAMENTO; RESTAURAÇÃO</t>
  </si>
  <si>
    <t>46/2026</t>
  </si>
  <si>
    <t>Portaria de extensão das alterações do contrato coletivo entre a Associação dos Hotéis e Empreendimentos Turísticos do Algarve (AHETA) e o Sindicato dos Trabalhadores do Setor de Serviços - SITESE.</t>
  </si>
  <si>
    <t>BTE 23, 22/06/2025, pág. 101 (295/2025) Portaria n.º 24/2026/1 - Diário da República n.º 14/2026, Série I de 2026-01-21</t>
  </si>
  <si>
    <t>CCT-ALT.20250623.295/2025</t>
  </si>
  <si>
    <t>HOTELARIA; ALOJAMENTO; ATIVIDADES DOS PARQUES DE DIVERSÃO E TEMÁTICOS FIXOS</t>
  </si>
  <si>
    <t>47/2026</t>
  </si>
  <si>
    <t>Portaria de extensão das alterações do contrato coletivo entre a APROSE - Associação Nacional de Agentes e Corretores de Seguros e o Sindicato dos Trabalhadores da Actividade Seguradora (STAS) e outro.</t>
  </si>
  <si>
    <t>BTE 20, 29/05/2025, pág. 47 (249/2025) Portaria n.º 26/2026/1 - Diário da República n.º 14/2026, Série I de 2026-01-21</t>
  </si>
  <si>
    <t>CCT-ALT.20250529.249/2025</t>
  </si>
  <si>
    <t>ACTIVIDADES AUXILIARES DE SEGUROS E FUNDOS DE PENSÕES; AVALIAÇÃO DE RISCOS E DANOS; ATIVIDADES DE MEDIADORES DE SEGUROS; ATIVIDADES AUXILIARES DE SEGUROS E FUNDOS DE PENSÕES, N.E.</t>
  </si>
  <si>
    <t>48/2026</t>
  </si>
  <si>
    <t>Portaria de extensão do contrato coletivo entre a ANIECA - Associação Nacional de Escolas de Condução Automóvel e a Federação dos Sindicatos de Transportes e Comunicações - FECTRANS.</t>
  </si>
  <si>
    <t>BTE 24, 29/06/2025, pág. 72 (304/2025) Portaria n.º 30/2026/1 - Diário da República n.º 14/2026, Série I de 2026-01-21</t>
  </si>
  <si>
    <t>CCT.20250630.304/2025</t>
  </si>
  <si>
    <t>ENSINO DE CONDUÇÃO AUTOMÓVEL; ESCOLAS DE CONDUÇÃO E PILOTAGEM</t>
  </si>
  <si>
    <t>49/2026</t>
  </si>
  <si>
    <t>Contrato coletivo entre a Associação dos Hotéis e Empreendimentos Turísticos do Algarve (AHETA) e o Sindicato dos Trabalhadores do Setor de Serviços - SITESE - Alteração salarial e outras.</t>
  </si>
  <si>
    <t>CCT-ALT</t>
  </si>
  <si>
    <t>BTE 33, 08/09/2024, pág. 22 (381/2024) e BTE 23, 22/06/2025, pág. 101 (295/2025)</t>
  </si>
  <si>
    <t>HOTELARIA; ALOJAMENTO; ATIVIDADES DOS PARQUES DE DIVERSÃO E TEMÁTICOS FIXOS; REMUNERAÇÕES; CLASSIFICAÇÃO DE ESTABELECIMENTO; SUBSÍDIO DE ALIMENTAÇÃO; ALIMENTAÇÃO</t>
  </si>
  <si>
    <t>Associação dos Hotéis e Empreendimentos Turísticos do Algarve (AHETA); Sindicato dos Trabalhadores do Setor de Serviços - SITESE</t>
  </si>
  <si>
    <t>50/2026</t>
  </si>
  <si>
    <t>Acordo coletivo de trabalho n.º 2/2026 - Acordo coletivo de empregador público entre a Freguesia de Benafim e o Sindicato dos Trabalhadores da Administração Pública e de Entidades com Fins Públicos - SINTAP.</t>
  </si>
  <si>
    <t>5</t>
  </si>
  <si>
    <t>Freguesia de Benafim; Sindicato dos Trabalhadores da Administração Pública e de Entidades com Fins Públicos - SINTAP</t>
  </si>
  <si>
    <t>51/2026</t>
  </si>
  <si>
    <t>Acordo coletivo de trabalho n.º 3/2026 - Acordo coletivo de empregador público entre o Município de Vila Franca de Xira e o STAL - Sindicato Nacional dos Trabalhadores da Administração Local e Regional, Empresas Públicas, Concessionárias e Afins.</t>
  </si>
  <si>
    <t>Acordo Coletivo de Trabalho n.º 3/2018 - Diário da República n.º 1/2018, Série II de 2018-01-02</t>
  </si>
  <si>
    <t>Município de Vila Franca de Xira; STAL - Sindicato Nacional dos Trabalhadores da Administração Local e Regional, Empresas Públicas, Concessionárias e Afins</t>
  </si>
  <si>
    <t>52/2026</t>
  </si>
  <si>
    <t>Acordo coletivo de trabalho n.º 4/2026 - Acordo coletivo de empregador público entre a Freguesia de Tôr e o Sindicato dos Trabalhadores da Administração Pública e de Entidades com Fins Públicos - SINTAP.</t>
  </si>
  <si>
    <t>Freguesia de Tôr; Sindicato dos Trabalhadores da Administração Pública e de Entidades com Fins Públicos - SINTAP</t>
  </si>
  <si>
    <t>53/2026</t>
  </si>
  <si>
    <t>Contrato coletivo entre a ACAP - Associação Automóvel de Portugal e outras e o SINDEL - Sindicato Nacional da Indústria e da Energia e outro - Revisão global.</t>
  </si>
  <si>
    <t>CCT</t>
  </si>
  <si>
    <t>CCT.20231229.511/2023</t>
  </si>
  <si>
    <t>AUTOMÓVEIS E ACESSÓRIOS; FABRICAÇÃO DE MÁQUINAS E EQUIPAMENTOS, N. E.; FABRICAÇÃO DE VEÍCULOS A MOTOR, REBOQUES E SEMIRREBOQUES; COMÉRCIO POR GROSSO DE VEÍCULOS AUTOMÓVEIS LIGEIROS; COMÉRCIO POR GROSSO DE PEÇAS E ACESSÓRIOS PARA VEÍCULOS AUTOMÓVEIS; COMÉRCIO A RETALHO DE VEÍCULOS AUTOMÓVEIS LIGEIROS; REPARAÇÃO E MANUTENÇÃO DE VEÍCULOS AUTOMÓVEIS</t>
  </si>
  <si>
    <t>ACAP - Associação Automóvel de Portugal; ANECRA - Associação Nacional das Empresas do Comércio e da Reparação Automóvel; ARAN - Associação Nacional do Ramo Automóvel; SINDEL - Sindicato Nacional da Indústria e da Energia; Sindicato dos Trabalhadores do Setor de Serviços - SITESE</t>
  </si>
  <si>
    <t>54/2026</t>
  </si>
  <si>
    <t>Acordo de empresa entre a SN Maia - Siderurgia Nacional, SA e o SINDEL - Sindicato Nacional da Indústria e da Energia - Revisão global.</t>
  </si>
  <si>
    <t>AE</t>
  </si>
  <si>
    <t>AE.20230215.50/2023</t>
  </si>
  <si>
    <t>METALURGIA; SIDERURGIA E FABRICAÇÃO DE FERRO-LIGAS</t>
  </si>
  <si>
    <t>SN Maia - Siderurgia Nacional, SA; SINDEL - Sindicato Nacional da Indústria e da Energia</t>
  </si>
  <si>
    <t>55/2026</t>
  </si>
  <si>
    <t>Acordo de empresa entre a SN Seixal - Siderurgia Nacional, SA e o SINDEL - Sindicato Nacional da Indústria e da Energia - Revisão global.</t>
  </si>
  <si>
    <t>AE.20230215.51/2023</t>
  </si>
  <si>
    <t>SN Seixal - Siderurgia Nacional, SA; SINDEL - Sindicato Nacional da Indústria e da Energia</t>
  </si>
  <si>
    <t>56/2026</t>
  </si>
  <si>
    <t>Acordo de empresa entre a EMARP - Empresa Municipal de Águas e Resíduos de Portimão, EM, SA e o Sindicato dos Trabalhadores da Administração Pública e de Entidades com Fins Públicos - SINTAP - Revisão global.</t>
  </si>
  <si>
    <t>AE.20250129.30/2025</t>
  </si>
  <si>
    <t>ABASTECIMENTO DE ÁGUA; DISTRIBUIÇÃO DE ÁGUA; RECOLHA E DRENAGEM DE ÁGUAS RESIDUAIS; RECOLHA DE OUTROS RESÍDUOS NÃO PERIGOSOS; OUTRAS ATIVIDADES DE LIMPEZA, N. E.; OUTRAS ATIVIDADES DE SERVIÇOS DE APOIO AOS NEGÓCIOS, N. E.</t>
  </si>
  <si>
    <t>EMARP - Empresa Municipal de Águas e Resíduos de Portimão, EM, SA; Sindicato dos Trabalhadores da Administração Pública e de Entidades com Fins Públicos - SINTAP</t>
  </si>
  <si>
    <t>57/2026</t>
  </si>
  <si>
    <t>Portaria de extensão do contrato coletivo entre a FNOP - Associação Nacional das Organizações de Produtores de Frutas e Hortícolas e o Sindicato Nacional dos Trabalhadores da Agricultura, Floresta, Pesca, Turismo, Indústria Alimentar, Bebidas e Afins - SETAAB.</t>
  </si>
  <si>
    <t>6</t>
  </si>
  <si>
    <t>BTE 24, 29/06/2025, pág. 4 (302/2025) Portaria n.º 52/2026/1 - Diário da República n.º 22/2026, Série I de 2026-02-02</t>
  </si>
  <si>
    <t>CCT.20250630.302/2025</t>
  </si>
  <si>
    <t>AGRICULTURA; AGRICULTURA, PRODUÇÃO ANIMAL, CAÇA E ATIVIDADES DOS SERVIÇOS RELACIONADOS; COMÉRCIO POR GROSSO DE CEREAIS, SEMENTES, LEGUMINOSAS, OLEAGINOSAS E OUTRAS MATÉRIAS-PRIMAS AGRÍCOLAS; COMÉRCIO POR GROSSO DE FRUTA E DE PRODUTOS HORTÍCOLAS, EXCETO BATATA; COMÉRCIO POR GROSSO DE PRODUTOS QUÍMICOS</t>
  </si>
  <si>
    <t>58/2026</t>
  </si>
  <si>
    <t>Portaria de extensão das alterações do contrato coletivo entre a GROQUIFAR - Associação de Grossistas de Produtos Químicos e Farmacêuticos e a Federação de Sindicatos da Indústria, Energia e Transportes - COFESINT e outra (comércio por grosso de produtos químicos para a indústria ou agricultura).</t>
  </si>
  <si>
    <t>BTE 25, 08/07/2025, pág. 76 (319/2025) Portaria n.º 53/2026/1 - Diário da República n.º 22/2026, Série I de 2026-02-02</t>
  </si>
  <si>
    <t>CCT-ALT.20250708.319/2025</t>
  </si>
  <si>
    <t>PRODUTOS QUÍMICOS; COMÉRCIO POR GROSSO DE PRODUTOS QUÍMICOS</t>
  </si>
  <si>
    <t>59/2026</t>
  </si>
  <si>
    <t>Portaria de extensão das alterações do contrato coletivo entre a GROQUIFAR - Associação de Grossistas de Produtos Químicos e Farmacêuticos e o Sindicato das Indústrias e Afins - SINDEQ (comércio de produtos químicos para a indústria ou agricultura).</t>
  </si>
  <si>
    <t>BTE 26, 15/07/2021, pág. 2471 (173/2021), BTE 37, 08/10/2023, pág. 221 (451/2023), BTE 34, 15/09/2024, pág. 14 (399/2024) e BTE 25, 08/07/2025, pág. 85 (320/2025) Portaria n.º 55/2026/1 - Diário da República n.º 22/2026, Série I de 2026-02-02</t>
  </si>
  <si>
    <t>CCT-ALT.20250708.320/2025</t>
  </si>
  <si>
    <t>60/2026</t>
  </si>
  <si>
    <t>Portaria de extensão das alterações do contrato coletivo entre a Associação do Comércio e Serviços da Região do Algarve - ACRAL e o CESP - Sindicato dos Trabalhadores do Comércio, Escritórios e Serviços de Portugal e outros.</t>
  </si>
  <si>
    <t>BTE 25, 08/07/2025, pág. 95 (321/2025) Portaria n.º 54/2026/1 - Diário da República n.º 22/2026, Série I de 2026-02-02</t>
  </si>
  <si>
    <t>CCT-ALT.20250708.321/2025</t>
  </si>
  <si>
    <t>COMÉRCIO. FARO; COMÉRCIO A RETALHO; OUTRA IMPRESSÃO; ATIVIDADES DE SERVIÇOS ADMINISTRATIVOS E DE APOIO; ORGANIZAÇÃO E EXPLORAÇÃO DE LOTARIAS E OUTROS JOGOS DE APOSTA; ATIVIDADES DOS MEDIADORES DOS JOGOS SOCIAIS DO ESTADO; REPARAÇÃO E MANUTENÇÃO DE TELEVISORES E OUTROS PRODUTOS SIMILARES DE ELETRÓNICA DE CONSUMO</t>
  </si>
  <si>
    <t>61/2026</t>
  </si>
  <si>
    <t>Contrato coletivo entre a Confederação dos Agricultores de Portugal (CAP) e o Sindicato Nacional dos Trabalhadores da Agricultura, Floresta, Pesca, Turismo, Indústria Alimentar, Bebidas e Afins - SETAAB - Revisão global.</t>
  </si>
  <si>
    <t>CCT.20250210.45/2025</t>
  </si>
  <si>
    <t>AGRICULTURA; AGRICULTURA, PRODUÇÃO ANIMAL, CAÇA E ATIVIDADES DOS SERVIÇOS RELACIONADOS</t>
  </si>
  <si>
    <t>Confederação dos Agricultores de Portugal (CAP); Sindicato Nacional dos Trabalhadores da Agricultura, Floresta, Pesca, Turismo, Indústria Alimentar, Bebidas e Afins - SETAAB</t>
  </si>
  <si>
    <t>62/2026</t>
  </si>
  <si>
    <t>Contrato coletivo entre a Associação da Hotelaria de Portugal (AHP) e o Sindicato dos Trabalhadores do Setor de Serviços - SITESE - Revisão global.</t>
  </si>
  <si>
    <t>CCT-ALT.20250108.3/2025</t>
  </si>
  <si>
    <t>HOTELARIA; ALOJAMENTO</t>
  </si>
  <si>
    <t>Associação da Hotelaria de Portugal (AHP); Sindicato dos Trabalhadores do Setor de Serviços - SITESE</t>
  </si>
  <si>
    <t>63/2026</t>
  </si>
  <si>
    <t>Contrato coletivo entre a Associação da Hotelaria, Restauração e Similares de Portugal (AHRESP) e o Sindicato dos Trabalhadores do Setor de Serviços - SITESE (alojamento) - Revisão global.</t>
  </si>
  <si>
    <t>CCT-ALT.20250310.95/2025</t>
  </si>
  <si>
    <t>Associação da Hotelaria, Restauração e Similares de Portugal (AHRESP); Sindicato dos Trabalhadores do Setor de Serviços - SITESE</t>
  </si>
  <si>
    <t>64/2026</t>
  </si>
  <si>
    <t>Contrato coletivo entre a Associação da Hotelaria, Restauração e similares de Portugal (AHRESP) e o Sindicato dos Trabalhadores do Setor de Serviços - SITESE (restauração e bebidas) - Revisão global.</t>
  </si>
  <si>
    <t>CCT-ALT.20250115.6/2025</t>
  </si>
  <si>
    <t>HOTELARIA; PARQUES DE CAMPISMO E DE CARAVANISMO; RESTAURAÇÃO</t>
  </si>
  <si>
    <t>65/2026</t>
  </si>
  <si>
    <t>Contrato coletivo entre a Associação dos Distribuidores de Produtos Alimentares (ADIPA) e outra e o Sindicato dos Trabalhadores do Setor de Serviços - SITESE - Alteração salarial e outras.</t>
  </si>
  <si>
    <t>BTE 8, 28/02/2025, pág. 4 (72/2025)</t>
  </si>
  <si>
    <t>CCT-ALT.20250228.72/2025</t>
  </si>
  <si>
    <t>COMÉRCIO. PRODUTOS ALIMENTARES E OUTROS; COMÉRCIO POR GROSSO DE PRODUTOS ALIMENTARES, BEBIDAS E TABACO; REMUNERAÇÕES; HORÁRIO DE TRABALHO; TRABALHO POR TURNOS; TRABALHO EM DIAS DE DESCANSO SEMANAL E FERIADOS; DIUTURNIDADES; SUBSÍDIO DE REFEIÇÃO; AJUDAS DE CUSTO; ABONO PARA FALHAS; SUBSÍDIO DE FRIO</t>
  </si>
  <si>
    <t>Associação dos Distribuidores de Produtos Alimentares (ADIPA); Casa do Azeite - Associação do Azeite de Portugal; Sindicato dos Trabalhadores do Setor de Serviços - SITESE</t>
  </si>
  <si>
    <t>66/2026</t>
  </si>
  <si>
    <t>Contrato coletivo entre a Associação dos Distribuidores de Produtos Alimentares (ADIPA) e o Sindicato dos Trabalhadores do Setor de Serviços - SITESE - Alteração salarial e outras.</t>
  </si>
  <si>
    <t>BTE 7, 22/02/2025, pág. 125 (66/2025)</t>
  </si>
  <si>
    <t>CCT-ALT.20250224.66/2025</t>
  </si>
  <si>
    <t>COMÉRCIO. PRODUTOS ALIMENTARES E OUTROS; COMÉRCIO A RETALHO EM OUTROS ESTABELECIMENTOS NÃO ESPECIALIZADOS, COM PREDOMINÂNCIA DE PRODUTOS ALIMENTARES, BEBIDAS OU TABACO; REMUNERAÇÕES; TRABALHO POR TURNOS; TRABALHO AO DOMINGO; SUBSÍDIO DE REFEIÇÃO</t>
  </si>
  <si>
    <t>Associação dos Distribuidores de Produtos Alimentares (ADIPA); Sindicato dos Trabalhadores do Setor de Serviços - SITESE</t>
  </si>
  <si>
    <t>67/2026</t>
  </si>
  <si>
    <t>Contrato coletivo entre a Associação Nacional das Farmácias - ANF e o Sindicato Nacional dos Farmacêuticos - Alteração salarial e outra.</t>
  </si>
  <si>
    <t>BTE 8, 29/02/2024, pág. 135 (96/2024)</t>
  </si>
  <si>
    <t>CCT.20240229.96/2024</t>
  </si>
  <si>
    <t>FARMÁCIAS; COMÉRCIO A RETALHO DE PRODUTOS FARMACÊUTICOS; REMUNERAÇÕES; SUBSÍDIO DE REFEIÇÃO</t>
  </si>
  <si>
    <t>Associação Nacional das Farmácias - ANF; Sindicato Nacional dos Farmacêuticos</t>
  </si>
  <si>
    <t>68/2026</t>
  </si>
  <si>
    <t>Contrato coletivo entre a Associação Portuguesa de Facility Services - APFS e o STTEPS - Sindicato de Todos os Trabalhadores de Empresas Prestadoras de Serviços - Vigilância, Limpeza, Manutenção, Call Center e Terceirização de Serviços - Alteração salarial e outras.</t>
  </si>
  <si>
    <t>BTE 8, 29/02/2024, pág. 223 (98/2024)</t>
  </si>
  <si>
    <t>CCT-ALT.20241129.520/2024</t>
  </si>
  <si>
    <t>SERVIÇOS DE LIMPEZA; LIMPEZA GERAL DE EDIFÍCIOS; OUTRAS ATIVIDADES DE LIMPEZA DE EDIFÍCIOS E EM EQUIPAMENTOS INDUSTRIAIS; ATIVIDADES DE DESINFEÇÃO, DESRATIZAÇÃO E SIMILARES; ATIVIDADES DE PRESTAÇÃO DE SERVIÇOS PESSOAIS DOMÉSTICOS; REMUNERAÇÕES; CONDIÇÕES DE ADMISSÃO; PERÍODO NORMAL DE TRABALHO; SUBSÍDIO DE ALIMENTAÇÃO; SUBSÍDIO DE RISCO; DESCANSO SEMANAL; FERIADOS; TOLERÂNCIA DE PONTO; FALTAS JUSTIFICADAS; SEGURANÇA HIGIENE E SAÚDE NO TRABALHO; DEFINIÇÃO DE FUNÇÕES</t>
  </si>
  <si>
    <t>Associação Portuguesa de Facility Services - APFS; STTEPS - Sindicato de Todos os Trabalhadores de Empresas Prestadoras de Serviços - Vigilância, Limpeza, Manutenção, Call Center e Terceirização de Serviços</t>
  </si>
  <si>
    <t>69/2026</t>
  </si>
  <si>
    <t>Acordo de empresa entre o Metropolitano de Lisboa, EPE e a Federação dos Sindicatos de Transportes e Comunicações - FECTRANS e outros - Alteração salarial e outras e texto consolidado.</t>
  </si>
  <si>
    <t>AE-ALT.20240522.223/2024</t>
  </si>
  <si>
    <t>METROPOLITANO; OUTRO TRANSPORTE FERROVIÁRIO DE PASSAGEIROS</t>
  </si>
  <si>
    <t>Metropolitano de Lisboa, EPE; Federação dos Sindicatos de Transportes e Comunicações - FECTRANS; Sindicato dos Trabalhadores da Tracção do Metropolitano - STTM; Sindicato da Manutenção do Metropolitano - SINDEM; Sindicato dos Trabalhadores dos Transportes - SITRA; Sindicato dos Trabalhadores do Setor de Serviços - SITESE; STMETRO - Sindicato dos Trabalhadores do Metropolitano de Lisboa</t>
  </si>
  <si>
    <t>70/2026</t>
  </si>
  <si>
    <t>Acordo de empresa entre a Sociedade de Transportes Colectivos do Porto, EIM, SA (STCP, EIM, SA) e o Sindicato dos Trabalhadores de Transportes Rodoviários e Urbanos do Norte (STRUN) - Alteração salarial e outras e texto consolidado.</t>
  </si>
  <si>
    <t>AE-ALT.20230609.248/2023</t>
  </si>
  <si>
    <t>Sociedade de Transportes Colectivos do Porto, EIM, SA (STCP, EIM, SA); Sindicato dos Trabalhadores de Transportes Rodoviários e Urbanos do Norte (STRUN)</t>
  </si>
  <si>
    <t>71/2026</t>
  </si>
  <si>
    <t>Acordo de empresa entre a Associação Humanitária dos Bombeiros Voluntários Torrejanos e o Sindicato Nacional dos Bombeiros Profissionais (SNBP) - Alteração salarial e outras.</t>
  </si>
  <si>
    <t>BTE 1, 08/01/2023, pág. 45 (6/2023)</t>
  </si>
  <si>
    <t>AE.20230109.6/2023</t>
  </si>
  <si>
    <t>ACTIVIDADES DE PROTECÇÃO CIVIL; ATIVIDADES DE PROTEÇÃO CIVIL; TRANSPORTE DE DOENTES EM AMBULÂNCIA; COMÉRCIO A RETALHO DE OUTROS PRODUTOS NOVOS, N. E.; REMUNERAÇÕES; DELEGADO SINDICAL; PERÍODO NORMAL DE TRABALHO; SUBSÍDIO DE REFEIÇÃO; ABONO PARA FALHAS; FÉRIAS; DISPENSA DE SERVIÇO</t>
  </si>
  <si>
    <t>Associação Humanitária dos Bombeiros Voluntários Torrejanos; Sindicato Nacional dos Bombeiros Profissionais (SNBP)</t>
  </si>
  <si>
    <t>72/2026</t>
  </si>
  <si>
    <t>Acordo coletivo de trabalho n.º 5/2026 - Acordo coletivo de empregador público entre a Freguesia de Querença e o Sindicato dos Trabalhadores da Administração Pública e de Entidades com Fins Públicos - SINTAP.</t>
  </si>
  <si>
    <t>7</t>
  </si>
  <si>
    <t>Freguesia de Querença; Sindicato dos Trabalhadores da Administração Pública e de Entidades com Fins Públicos - SINTAP</t>
  </si>
  <si>
    <t>73/2026</t>
  </si>
  <si>
    <t>Acordo coletivo de trabalho n.º 6/2026 - Acordo coletivo de empregador público entre o Município de Coruche e o Sindicato dos Trabalhadores em Funções Públicas e Sociais do Sul e Regiões Autónomas - STFPSSRA.</t>
  </si>
  <si>
    <t>Município de Coruche; Sindicato dos Trabalhadores em Funções Públicas e Sociais do Sul e Regiões Autónomas - STFPSSRA</t>
  </si>
  <si>
    <t>74/2026</t>
  </si>
  <si>
    <t>Contrato coletivo entre a Associação Portuguesa das Indústrias de Cerâmica e de Cristalaria - APICER e o Sindicato Nacional dos Trabalhadores das Indústrias de Cerâmica, Cimentos, Abrasivos, Vidros e Similares, Construção Civil e Obras Públicas (SINTICAVS) - (indústria da cerâmica - pessoal fabril) - Alteração salarial e outra.</t>
  </si>
  <si>
    <t>BTE 13, 08/04/2022, pág. 951 (70/2022) e BTE 12, 29/03/2025, pág. 70 (131/2025)</t>
  </si>
  <si>
    <t>CCT-ALT.20250331.131/2025</t>
  </si>
  <si>
    <t>CERÂMICA; FABRICAÇÃO DE PRODUTOS CERÂMICOS REFRATÁRIOS; FABRICAÇÃO DE PRODUTOS DE BARRO PARA A CONSTRUÇÃO; FABRICAÇÃO DE OUTROS PRODUTOS DE PORCELANA E CERÂMICA; REMUNERAÇÕES; TRABALHO SUPLEMENTAR</t>
  </si>
  <si>
    <t>Associação Portuguesa das Indústrias de Cerâmica e de Cristalaria - APICER; Sindicato Nacional dos Trabalhadores das Indústrias de Cerâmica, Cimentos, Abrasivos, Vidros e Similares, Construção Civil e Obras Públicas (SINTICAVS)</t>
  </si>
  <si>
    <t>75/2026</t>
  </si>
  <si>
    <t>Contrato coletivo entre a Associação Nacional das Farmácias - ANF e o SIFAP - Sindicato Nacional dos Profissionais de Farmácia e Paramédicos - Alteração salarial e outra.</t>
  </si>
  <si>
    <t>BTE 16, 29/04/2025, pág. 83 (197/2025)</t>
  </si>
  <si>
    <t>CCT-ALT.20250429.197/2025</t>
  </si>
  <si>
    <t>Associação Nacional das Farmácias - ANF; SIFAP - Sindicato Nacional dos Profissionais de Farmácia e Paramédicos</t>
  </si>
  <si>
    <t>76/2026</t>
  </si>
  <si>
    <t>Contrato coletivo entre a Associação Portuguesa de Facility Services - APFS e o Sindicato dos Trabalhadores de Serviços de Portaria, Vigilância, Limpeza, Domésticas e Actividades Diversas - STAD e outros - Alteração salarial e outras.</t>
  </si>
  <si>
    <t>Associação Portuguesa de Facility Services - APFS; Sindicato dos Trabalhadores de Serviços de Portaria, Vigilância, Limpeza, Domésticas e Actividades Diversas - STAD; Sindicato dos Trabalhadores do Setor de Serviços - SITESE; Federação dos Sindicatos da Indústria e Serviços - FETESE</t>
  </si>
  <si>
    <t>77/2026</t>
  </si>
  <si>
    <t>Acordo de empresa entre o Grupo Pestana Pousadas - Investimentos Turísticos, SA e a FESAHT - Federação dos Sindicatos da Agricultura, Alimentação, Bebidas, Hotelaria e Turismo de Portugal - Alteração salarial e outras.</t>
  </si>
  <si>
    <t>BTE 18, 15/05/2024, pág. 430 (217/2024)</t>
  </si>
  <si>
    <t>AE-ALT.20250415.172/2025</t>
  </si>
  <si>
    <t>HOTELARIA; POUSADAS; OUTROS ESTABELECIMENTOS HOTELEIROS; HOTÉIS-APARTAMENTOS; EDIÇÃO DE REVISTAS E DE OUTRAS PUBLICAÇÕES PERIÓDICAS; REMUNERAÇÕES; ABONO PARA FALHAS; PRÉMIO DE LÍNGUAS; SUBSÍDIO DE REFEIÇÃO; ALIMENTAÇÃO</t>
  </si>
  <si>
    <t>Grupo Pestana Pousadas - Investimentos Turísticos, SA; FESAHT - Federação dos Sindicatos da Agricultura, Alimentação, Bebidas, Hotelaria e Turismo de Portugal</t>
  </si>
  <si>
    <t>79/2026</t>
  </si>
  <si>
    <t>Portaria de extensão do contrato coletivo entre a Associação dos Agricultores do Baixo Alentejo e o Sindicato Nacional dos Trabalhadores da Agricultura, Floresta, Pesca, Turismo, Indústria Alimentar, Bebidas e Afins - SETAAB.</t>
  </si>
  <si>
    <t>8</t>
  </si>
  <si>
    <t>BTE 18, 15/05/2025, pág. 84 (225/2025) Portaria n.º 78/2026/1 - Diário da República n.º 31/2026, Série I de 2026-02-13</t>
  </si>
  <si>
    <t>CCT.20250515.225/2025</t>
  </si>
  <si>
    <t>80/2026</t>
  </si>
  <si>
    <t>Portaria de extensão das alterações do acordo coletivo entre a LACTICOOP - União de Cooperativas de Produtores de Leite de Entre Douro e Mondego, UCRL e outra e o Sindicato do Comércio, Escritórios e Serviços - SINDCES.</t>
  </si>
  <si>
    <t>BTE 27, 22/07/2025, pág. 13 (335/2025) Portaria n.º 74/2026/1 - Diário da República n.º 31/2026, Série I de 2026-02-13</t>
  </si>
  <si>
    <t>ACT-ALT.20250722.335/2025</t>
  </si>
  <si>
    <t>LACTICÍNIOS; INDÚSTRIA DE LATICÍNIOS; COMÉRCIO POR GROSSO DE LEITE, SEUS DERIVADOS E OVOS</t>
  </si>
  <si>
    <t>81/2026</t>
  </si>
  <si>
    <t>Portaria de extensão das alterações do contrato coletivo entre a Associação Portuguesa dos Industriais de Calçado, Componentes e Artigos de Pele e Seus Sucedâneos - APICCAPS e a Federação dos Sindicatos dos Trabalhadores Têxteis, Lanifícios, Vestuário, Calçado e Peles de Portugal - FESETE.</t>
  </si>
  <si>
    <t>BTE 26, 15/07/2025, pág. 70 (329/2025) Portaria n.º 77/2026/1 - Diário da República n.º 31/2026, Série I de 2026-02-13</t>
  </si>
  <si>
    <t>82/2026</t>
  </si>
  <si>
    <t>Portaria de extensão das alterações do contrato coletivo entre a GROQUIFAR - Associação de Grossistas de Produtos Químicos e Farmacêuticos e a FEPCES - Federação Portuguesa dos Sindicatos do Comércio, Escritórios e Serviços e outra (comércio de produtos químicos para a indústria ou agricultura).</t>
  </si>
  <si>
    <t>BTE 26, 15/07/2025, pág. 82 (330/2025) Portaria n.º 72/2026/1 - Diário da República n.º 31/2026, Série I de 2026-02-13</t>
  </si>
  <si>
    <t>CCT-ALT.20250715.330/2025</t>
  </si>
  <si>
    <t>83/2026</t>
  </si>
  <si>
    <t>Portaria de extensão das alterações do contrato coletivo entre a GROQUIFAR - Associação de Grossistas de Produtos Químicos e Farmacêuticos e o Sindicato dos Trabalhadores do Setor de Serviços - SITESE (comércio por grosso de produtos químicos para a indústria e agricultura).</t>
  </si>
  <si>
    <t>BTE 26, 15/07/2025, pág. 87 (331/2025) Portaria n.º 73/2026/1 - Diário da República n.º 31/2026, Série I de 2026-02-13</t>
  </si>
  <si>
    <t>CCT-ALT.20250715.331/2025</t>
  </si>
  <si>
    <t>84/2026</t>
  </si>
  <si>
    <t>Portaria de extensão das alterações do acordo de empresa entre a Rádio e Televisão de Portugal, SA e a FE - Federação dos Engenheiros e outros.</t>
  </si>
  <si>
    <t>BTE 26, 15/07/2025, pág. 127 (333/2025) Portaria n.º 76/2026/1 - Diário da República n.º 31/2026, Série I de 2026-02-13</t>
  </si>
  <si>
    <t>AE-ALT.20250715.333/2025</t>
  </si>
  <si>
    <t>COMUNICAÇÃO SOCIAL; ATIVIDADES DE PROGRAMAÇÃO E DIFUSÃO DE TELEVISÃO E DE DISTRIBUIÇÃO DE VÍDEO; ATIVIDADES DE PRODUÇÃO DE FILMES, DE VÍDEOS E DE PROGRAMAS DE TELEVISÃO; ATIVIDADES DE RADIODIFUSÃO E DE DISTRIBUIÇÃO DE ÁUDIO</t>
  </si>
  <si>
    <t>85/2026</t>
  </si>
  <si>
    <t>Portaria de extensão das alterações do contrato coletivo entre a ANASEL - Associação Nacional de Empresas de Lavandaria, Arranjos de Costura, Consertos de Sapatos e Chaves e o Sindicato dos Trabalhadores do Setor de Serviços - SITESE.</t>
  </si>
  <si>
    <t>BTE 27, 22/07/2025, pág. 6 (334/2025) Portaria n.º 75/2026/1 - Diário da República n.º 31/2026, Série I de 2026-02-13</t>
  </si>
  <si>
    <t>CCT-ALT.20250722.334/2025</t>
  </si>
  <si>
    <t>LAVANDARIAS E TINTURARIAS; LAVAGEM E LIMPEZA DE TÊXTEIS E PELES; ATIVIDADES DE PRESTAÇÃO DE SERVIÇOS PESSOAIS DOMÉSTICOS; REPARAÇÃO E MANUTENÇÃO DE CALÇADO E DE ARTIGOS DE COURO; OUTRAS ATIVIDADES DE SERVIÇOS PESSOAIS DIVERSAS, N. E.</t>
  </si>
  <si>
    <t>86/2026</t>
  </si>
  <si>
    <t>Contrato coletivo entre a Associação Nacional de Marcas de Retalho e Restauração - AMRR e o Sindicato Independente do Comércio e Serviços - SICOS.</t>
  </si>
  <si>
    <t>HOTELARIA; RESTAURAÇÃO; COMÉRCIO A RETALHO</t>
  </si>
  <si>
    <t>Associação Nacional de Marcas de Retalho e Restauração - AMRR; Sindicato Independente do Comércio e Serviços - SICOS</t>
  </si>
  <si>
    <t>87/2026</t>
  </si>
  <si>
    <t>Acordo coletivo de trabalho n.º 7/2026 - Acordo coletivo de empregador público entre o Município de Vila Franca de Xira e o Sindicato dos Trabalhadores da Administração Pública e de Entidades com Fins Públicos - SINTAP.</t>
  </si>
  <si>
    <t>9</t>
  </si>
  <si>
    <t>Município de Vila Franca de Xira; Sindicato dos Trabalhadores da Administração Pública e de Entidades com Fins Públicos - SINTAP</t>
  </si>
  <si>
    <t>88/2026</t>
  </si>
  <si>
    <t>Acordo coletivo de trabalho n.º 8/2026 - Acordo coletivo de empregador público entre os Serviços Municipalizados de Água e Saneamento do Município de Vila Franca de Xira e o Sindicato dos Trabalhadores da Administração Pública e de Entidades com Fins Públicos - SINTAP.</t>
  </si>
  <si>
    <t>Serviços Municipalizados de Água e Saneamento do Município de Vila Franca de Xira; Sindicato dos Trabalhadores da Administração Pública e de Entidades com Fins Públicos - SINTAP</t>
  </si>
  <si>
    <t>89/2026</t>
  </si>
  <si>
    <t>Acordo coletivo de trabalho n.º 9/2026 - Acordo coletivo de empregador público entre os Serviços Municipalizados de Água e Saneamento do Município de Vila Franca de Xira e o STAL - Sindicato Nacional dos Trabalhadores da Administração Local e Regional, Empresas Públicas, Concessionárias e Afins.</t>
  </si>
  <si>
    <t>Acordo Coletivo de Trabalho n.º 4/2018 - Diário da República n.º 1/2018, Série II de 2018-01-02</t>
  </si>
  <si>
    <t>Serviços Municipalizados de Água e Saneamento do Município de Vila Franca de Xira; STAL - Sindicato Nacional dos Trabalhadores da Administração Local e Regional, Empresas Públicas, Concessionárias e Afins</t>
  </si>
  <si>
    <t>90/2026</t>
  </si>
  <si>
    <t>Acordo coletivo de trabalho n.º 10/2026 - Acordo coletivo de empregador público entre a Freguesia de Vale de Santiago e o STAL - Sindicato Nacional dos Trabalhadores da Administração Local e Regional, Empresas Públicas, Concessionárias e Afins.</t>
  </si>
  <si>
    <t>Freguesia de Vale de Santiago; STAL - Sindicato Nacional dos Trabalhadores da Administração Local e Regional, Empresas Públicas, Concessionárias e Afins</t>
  </si>
  <si>
    <t>91/2026</t>
  </si>
  <si>
    <t>Acordo coletivo de trabalho n.º 11/2026 - Acordo coletivo de empregador público entre o Município de Viana do Alentejo e o Sindicato dos Trabalhadores em Funções Públicas e Sociais do Sul e Regiões Autónomas - STFPSSRA.</t>
  </si>
  <si>
    <t>Município de Viana do Alentejo; Sindicato dos Trabalhadores em Funções Públicas e Sociais do Sul e Regiões Autónomas - STFPSSRA</t>
  </si>
  <si>
    <t>92/2026</t>
  </si>
  <si>
    <t>Aviso n.º 2/2026 - Alteração ao Acordo Coletivo de Trabalho n.º 322/2015 entre o Município de Alpiarça e o Sindicato dos Trabalhadores em Funções Públicas e Sociais do Sul e Regiões Autónomas - STFPSSRA.</t>
  </si>
  <si>
    <t>Acordo Coletivo de Trabalho n.º 322/2015 - Diário da República n.º 249/2015, Série II de 2015-12-22</t>
  </si>
  <si>
    <t>Aviso n.º 5356/2018 - Diário da República n.º 77/2018, Série II de 2018-04-19</t>
  </si>
  <si>
    <t>EMPREGO PÚBLICO; ADMINISTRAÇÃO LOCAL; FÉRIAS; DISPENSA DE SERVIÇO; TRABALHO A TEMPO PARCIAL; SEGURANÇA HIGIENE E SAÚDE NO TRABALHO; MEDICINA DO TRABALHO; COMISSÃO DE SEGURANÇA HIGIENE E SAÚDE NO TRABALHO</t>
  </si>
  <si>
    <t>Município de Alpiarça; Sindicato dos Trabalhadores em Funções Públicas e Sociais do Sul e Regiões Autónomas - STFPSSRA</t>
  </si>
  <si>
    <t>93/2026</t>
  </si>
  <si>
    <t>Aviso n.º 3/2026 - Alteração e texto consolidado ao Acordo Coletivo de Trabalho n.º 74/2015 entre o Município de Alvaiázere e o Sindicato dos Trabalhadores da Administração Pública e de Entidades com Fins Públicos - SINTAP.</t>
  </si>
  <si>
    <t>Acordo Coletivo de Trabalho n.º 74/2015 - Diário da República n.º 194/2015, Série II de 2015-10-05</t>
  </si>
  <si>
    <t>Município de Alvaiázere; Sindicato dos Trabalhadores da Administração Pública e de Entidades com Fins Públicos - SINTAP</t>
  </si>
  <si>
    <t>96/2026</t>
  </si>
  <si>
    <t>Contrato coletivo entre a Associação Nacional de Transportadores Públicos Rodoviários de Mercadorias - ANTRAM e outra e a Federação dos Sindicatos de Transportes e Comunicações - FECTRANS - Revisão global.</t>
  </si>
  <si>
    <t>CCT.20230208.38/2023</t>
  </si>
  <si>
    <t>TRANSPORTES TERRESTRES; TRANSPORTES RODOVIÁRIOS DE MERCADORIAS; SERVIÇOS DE MUDANÇAS</t>
  </si>
  <si>
    <t>Associação Nacional de Transportadores Públicos Rodoviários de Mercadorias - ANTRAM; Associação Nacional das Transportadoras Portuguesas - ANTP; Federação dos Sindicatos de Transportes e Comunicações - FECTRANS</t>
  </si>
  <si>
    <t>97/2026</t>
  </si>
  <si>
    <t>Contrato coletivo entre a Associação Nacional dos Centros de Abate e Indústrias Transformadoras de Carne de Aves (ANCAVE) e o Sindicato Nacional dos Trabalhadores da Agricultura, Floresta, Pesca, Turismo, Indústria Alimentar, Bebidas e Afins - SETAAB - Revisão global.</t>
  </si>
  <si>
    <t>CCT-ALT.20250415.165/2025</t>
  </si>
  <si>
    <t>ABATE DE AVES; PROCESSAMENTO E CONSERVAÇÃO DE CARNE DE AVES; COMÉRCIO POR GROSSO DE CARNE E PRODUTOS À BASE DE CARNE</t>
  </si>
  <si>
    <t>Associação Nacional dos Centros de Abate e Indústrias Transformadoras de Carne de Aves (ANCAVE); Sindicato Nacional dos Trabalhadores da Agricultura, Floresta, Pesca, Turismo, Indústria Alimentar, Bebidas e Afins - SETAAB</t>
  </si>
  <si>
    <t>98/2026</t>
  </si>
  <si>
    <t>Portaria de extensão das alterações do contrato coletivo entre a APCOR - Associação Portuguesa da Cortiça e o Sindicato do Comércio, Escritórios e Serviços - SINDCES (pessoal de escritórios).</t>
  </si>
  <si>
    <t>10</t>
  </si>
  <si>
    <t>BTE 30, 15/08/2025, pág. 185 (365/2025) Portaria n.º 101/2026/1 - Diário da República n.º 42/2026, Série I de 2026-03-02</t>
  </si>
  <si>
    <t>CCT-ALT.20250818.365/2025</t>
  </si>
  <si>
    <t>CORTIÇA; INDÚSTRIA DE PREPARAÇÃO DA CORTIÇA; FABRICAÇÃO DE ROLHAS DE CORTIÇA; FABRICAÇÃO DE OUTROS PRODUTOS DE CORTIÇA; COMÉRCIO POR GROSSO DE CORTIÇA EM BRUTO</t>
  </si>
  <si>
    <t>99/2026</t>
  </si>
  <si>
    <t>Portaria de extensão das alterações do contrato coletivo entre a FENAME - Federação Nacional do Metal e o Sindicato dos Trabalhadores do Setor de Serviços - SITESE e outros.</t>
  </si>
  <si>
    <t>BTE 29, 08/08/2025, pág. 95 (352/2025) Portaria n.º 97/2026/1 - Diário da República n.º 42/2026, Série I de 2026-03-02</t>
  </si>
  <si>
    <t>CCT-ALT.20250808.352/2025</t>
  </si>
  <si>
    <t>100/2026</t>
  </si>
  <si>
    <t>Portaria de extensão das alterações do contrato coletivo entre a Associação do Comércio, Indústria, Serviços e Turismo do Distrito de Setúbal e outra e o CESP - Sindicato dos Trabalhadores do Comércio, Escritórios e Serviços de Portugal e outro.</t>
  </si>
  <si>
    <t>BTE 30, 15/08/2025, pág. 188 (366/2025) Portaria n.º 100/2026/1 - Diário da República n.º 42/2026, Série I de 2026-03-02</t>
  </si>
  <si>
    <t>CCT-ALT.20250818.366/2025</t>
  </si>
  <si>
    <t>COMÉRCIO. SETÚBAL; COMÉRCIO POR GROSSO; COMÉRCIO A RETALHO</t>
  </si>
  <si>
    <t>101/2026</t>
  </si>
  <si>
    <t>Portaria de extensão das alterações do contrato coletivo entre a AEBRAGA - Associação Empresarial de Braga e outras e o CESMINHO - Sindicato dos Trabalhadores do Comércio, Escritórios e Serviços do Minho e outro.</t>
  </si>
  <si>
    <t>BTE 31, 22/08/2025, pág. 47 (375/2025) Portaria n.º 99/2026/1 - Diário da República n.º 42/2026, Série I de 2026-03-02</t>
  </si>
  <si>
    <t>CCT-ALT.20250822.375/2025</t>
  </si>
  <si>
    <t>COMÉRCIO. BRAGA; COMÉRCIO POR GROSSO; COMÉRCIO A RETALHO; ATIVIDADES DE SALÕES DE CABELEIREIRO E BARBEIROS; ATIVIDADES DE CUIDADOS DE BELEZA E OUTRAS ATIVIDADES DE TRATAMENTOS DE BELEZA; ATIVIDADES FUNERÁRIAS E CONEXAS</t>
  </si>
  <si>
    <t>102/2026</t>
  </si>
  <si>
    <t>Portaria de extensão das alterações do acordo coletivo entre a Fidelidade - Companhia de Seguros, SA e outras e o Sindicato Nacional dos Profissionais de Seguros e Afins - SINAPSA e outro.</t>
  </si>
  <si>
    <t>BTE 17, 08/05/2022, pág. 1402 (104/2022) e BTE 13, 08/04/2025, pág. 111 (144/2025) Portaria n.º 102/2026/1 - Diário da República n.º 42/2026, Série I de 2026-03-02</t>
  </si>
  <si>
    <t>ACT-ALT.20220509.104/2022; ACT-ALT.20250408.144/2025</t>
  </si>
  <si>
    <t>SEGUROS; SEGUROS NÃO VIDA; RESSEGUROS</t>
  </si>
  <si>
    <t>103/2026</t>
  </si>
  <si>
    <t>Portaria de extensão do contrato coletivo entre a Associação Portuguesa de Escolas de Condução - APEC e a Federação dos Sindicatos de Transportes e Comunicações - FECTRANS.</t>
  </si>
  <si>
    <t>BTE 29, 08/08/2025, pág. 70 (350/2025) Portaria n.º 96/2026/1 - Diário da República n.º 42/2026, Série I de 2026-03-02</t>
  </si>
  <si>
    <t>CCT.20250808.350/2025</t>
  </si>
  <si>
    <t>104/2026</t>
  </si>
  <si>
    <t>Portaria de extensão do contrato coletivo entre a Associação Portuguesa de Escolas de Condução - APEC e o Sindicato dos Trabalhadores do Setor de Serviços - SITESE.</t>
  </si>
  <si>
    <t>BTE 30, 15/08/2025, pág. 104 (363/2025) Portaria n.º 98/2026/1 - Diário da República n.º 42/2026, Série I de 2026-03-02</t>
  </si>
  <si>
    <t>CCT.20250818.363/2025</t>
  </si>
  <si>
    <t>105/2026</t>
  </si>
  <si>
    <t>Portaria de extensão das alterações do contrato coletivo entre a Associação Portuguesa de Hospitalização Privada - APHP e o Sindicato Democrático dos Enfermeiros de Portugal - SINDEPOR e outros.</t>
  </si>
  <si>
    <t>BTE 29, 08/08/2025, pág. 131 (354/2025) Portaria n.º 95/2026/1 - Diário da República n.º 42/2026, Série I de 2026-03-02</t>
  </si>
  <si>
    <t>CCT-ALT.20250808.354/2025</t>
  </si>
  <si>
    <t>SERVIÇOS DE SAÚDE; ATIVIDADES DOS ESTABELECIMENTOS DE SAÚDE COM INTERNAMENTO; ATIVIDADES DE PRÁTICA CLÍNICA GERAL; ATIVIDADES MÉDICAS ESPECIALIZADAS</t>
  </si>
  <si>
    <t>106/2026</t>
  </si>
  <si>
    <t>Contrato coletivo entre a Associação Nacional de Comerciantes e Industriais de Produtos Alimentares (ANCIPA) e o Sindicato Nacional dos Trabalhadores da Agricultura, Floresta, Pesca, Turismo, Indústria Alimentar, Bebidas e Afins - SETAAB (indústria de batata frita, aperitivos e similares) - Revisão global.</t>
  </si>
  <si>
    <t>CCT.20250210.46/2025</t>
  </si>
  <si>
    <t>PREPARAÇÃO DE PRODUTOS ALIMENTARES; PROCESSAMENTO E CONSERVAÇÃO DE BATATAS; DESCASQUE E TRANSFORMAÇÃO DE FRUTOS DE CASCA RIJA COMESTÍVEIS</t>
  </si>
  <si>
    <t>Associação Nacional de Comerciantes e Industriais de Produtos Alimentares (ANCIPA); Sindicato Nacional dos Trabalhadores da Agricultura, Floresta, Pesca, Turismo, Indústria Alimentar, Bebidas e Afins - SETAAB</t>
  </si>
  <si>
    <t>107/2026</t>
  </si>
  <si>
    <t>Contrato coletivo entre a Associação Nacional de Comerciantes e Industriais de Produtos Alimentares (ANCIPA) e o Sindicato Nacional dos Trabalhadores da Agricultura, Floresta, Pesca, Turismo, Indústria Alimentar, Bebidas e Afins - SETAAB (indústria de hortofrutícolas) - Revisão global.</t>
  </si>
  <si>
    <t>CCT.20250224.65/2025</t>
  </si>
  <si>
    <t>108/2026</t>
  </si>
  <si>
    <t>Contrato coletivo entre a GROQUIFAR - Associação de Grossistas de Produtos Químicos e Farmacêuticos e a Federação de Sindicatos da Indústria, Energia e Transportes - COFESINT e outra (produtos farmacêuticos) - Alteração salarial e outras.</t>
  </si>
  <si>
    <t>BTE 21, 08/06/2025, pág. 76 (264/2025)</t>
  </si>
  <si>
    <t>PRODUTOS FARMACÊUTICOS; COMÉRCIO POR GROSSO DE PRODUTOS FARMACÊUTICOS E MÉDICOS; REMUNERAÇÕES; DESLOCAÇÕES; VIAGENS EM SERVIÇO; DIUTURNIDADES; SUBSÍDIO DE REFEIÇÃO; ABONO PARA FALHAS</t>
  </si>
  <si>
    <t>GROQUIFAR - Associação de Grossistas de Produtos Químicos e Farmacêuticos; Federação de Sindicatos da Indústria, Energia e Transportes - COFESINT; FE - Federação dos Engenheiros</t>
  </si>
  <si>
    <t>109/2026</t>
  </si>
  <si>
    <t>Acordo coletivo entre a LACTICOOP - União de Cooperativas de Produtores de Leite de Entre Douro e Mondego, UCRL e outra e o STRUP - Sindicato dos Trabalhadores de Transportes Rodoviários e Urbanos de Portugal - Revisão global.</t>
  </si>
  <si>
    <t>ACT-ALT.20230411.143/2023</t>
  </si>
  <si>
    <t>LACTICOOP - União de Cooperativas de Produtores de Leite de Entre Douro e Mondego, UCRL; LACTICOOP - SGPS, Unipessoal L.da.; STRUP - Sindicato dos Trabalhadores de Transportes Rodoviários e Urbanos de Portugal</t>
  </si>
  <si>
    <t>110/2026</t>
  </si>
  <si>
    <t>Acordo coletivo entre a Companhia de Seguros Allianz Portugal, SA e outras e o Sindicato dos Trabalhadores da Actividade Seguradora (STAS) e outro - Revisão global.</t>
  </si>
  <si>
    <t>ACT-ALT.20250408.145/2025</t>
  </si>
  <si>
    <t>SEGUROS; SEGUROS NÃO VIDA; SEGUROS DE VIDA, EXCETO OUTRAS ATIVIDADES COMPLEMENTARES DE SEGURANÇA SOCIAL</t>
  </si>
  <si>
    <t>Companhia de Seguros Allianz Portugal, SA; Aegon Santander Portugal Não Vida - Companhia de Seguros, SA; Aegon Santander Portugal Vida - Companhia de Seguros de Vida, SA; ARAG SE - Sucursal em Portugal; Atradius Crédito Y Caución, SA de Seguros Y Reaseguros - Sucursal em Portugal; Bankinter Seguros de Vida, SA de Seguros e Reaseguros - Sucursal em Portugal; Compagnie Française d’Assurance pour le Commerce Exterieur - COFACE - Sucursal em Portugal; Compañia Española de Seguros de Crédito a la Exportation Sociedade Anónima Acompañia Seguros Y Reaseguros - Sucursal em Portugal; COSEC - Companhia de Seguro de Créditos, SA; Crédito Agrícola Seguros - Companhia de Seguros de Ramos Reais, SA; Crédito Agrícola Vida - Companhia de Seguros, SA; Inter Partner Assistance, SA - Sucursal em Portugal; Mapfre Asistencia, Compañia Internacional de Seguros e Reaseguros, SA; Mapfre Santander Portugal - Companhia de Seguros, SA; Mapfre Seguros Gerais, SA; Mapfre Seguros de Vida, SA; MetLife Europe D.A.C. - Sucursal em Portugal; Prévoir-Vie Groupe Prévoir, SA (Sucursal); Real Vida Seguros, SA; Santander Totta Seguros - Companhia de Seguros de Vida, SA; UNA Seguros, SA; UNA Seguros de Vida, SA; Victoria - Seguros, SA; Victoria - Seguros de Vida, SA; Sindicato dos Trabalhadores da Actividade Seguradora (STAS); Sindicato Nacional dos Profissionais de Seguros e Afins - SINAPSA</t>
  </si>
  <si>
    <t>111/2026</t>
  </si>
  <si>
    <t>Acordo coletivo de trabalho n.º 12/2026 - Acordo coletivo de empregador público entre a Freguesia de Alfândega da Fé e o STAL - Sindicato Nacional dos Trabalhadores da Administração Local e Regional, Empresas Públicas, Concessionárias e Afins.</t>
  </si>
  <si>
    <t>11</t>
  </si>
  <si>
    <t>Freguesia de Alfândega da Fé; STAL - Sindicato Nacional dos Trabalhadores da Administração Local e Regional, Empresas Públicas, Concessionárias e Afins</t>
  </si>
  <si>
    <t>112/2026</t>
  </si>
  <si>
    <t>Acordo coletivo de trabalho n.º 13/2026 - Acordo coletivo de empregador público entre a Freguesia de Nossa Senhora do Bispo e o STAL - Sindicato Nacional dos Trabalhadores da Administração Local e Regional, Empresas Públicas, Concessionárias e Afins.</t>
  </si>
  <si>
    <t>Freguesia de Nossa Senhora do Bispo; STAL - Sindicato Nacional dos Trabalhadores da Administração Local e Regional, Empresas Públicas, Concessionárias e Afins</t>
  </si>
  <si>
    <t>113/2026</t>
  </si>
  <si>
    <t>Acordo coletivo de trabalho n.º 14/2026 - Acordo coletivo de empregador público entre a Freguesia de Leça da Palmeira e o STAL - Sindicato Nacional dos Trabalhadores da Administração Local e Regional, Empresas Públicas, Concessionárias e Afins.</t>
  </si>
  <si>
    <t>Freguesia de Leça da Palmeira; STAL - Sindicato Nacional dos Trabalhadores da Administração Local e Regional, Empresas Públicas, Concessionárias e Afins</t>
  </si>
  <si>
    <t>114/2026</t>
  </si>
  <si>
    <t>Acordo coletivo de trabalho n.º 15/2026 - Acordo coletivo de empregador público entre a Freguesia de Nossa Senhora da Vila e o STAL - Sindicato Nacional dos Trabalhadores da Administração Local e Regional, Empresas Públicas, Concessionárias e Afins.</t>
  </si>
  <si>
    <t>Freguesia de Nossa Senhora da Vila; STAL - Sindicato Nacional dos Trabalhadores da Administração Local e Regional, Empresas Públicas, Concessionárias e Afins</t>
  </si>
  <si>
    <t>115/2026</t>
  </si>
  <si>
    <t>Contrato coletivo entre a ALIF - Associação Nacional da Indústria pelo Frio e Comércio de Produtos Alimentares e o Sindicato Nacional dos Trabalhadores da Agricultura, Floresta, Pesca, Turismo, Indústria Alimentar, Bebidas e Afins - SETAAB - Revisão global.</t>
  </si>
  <si>
    <t>CCT.20250224.64/2025</t>
  </si>
  <si>
    <t>CONSERVAÇÃO PELO FRIO; CONGELAÇÃO DE PRODUTOS DA PESCA E DA AQUICULTURA; CONGELAÇÃO DE FRUTOS E DE PRODUTOS HORTÍCOLAS; PRODUÇÃO DE GELO; ARMAZENAGEM FRIGORÍFICA</t>
  </si>
  <si>
    <t>ALIF - Associação Nacional da Indústria pelo Frio e Comércio de Produtos Alimentares; Sindicato Nacional dos Trabalhadores da Agricultura, Floresta, Pesca, Turismo, Indústria Alimentar, Bebidas e Afins - SETAAB</t>
  </si>
  <si>
    <t>116/2026</t>
  </si>
  <si>
    <t>Contrato coletivo entre a ANASEL - Associação Nacional de Empresas de Lavandaria, Arranjos de Costura, Consertos de Sapatos e Chaves e o Sindicato dos Trabalhadores do Setor de Serviços - SITESE - Revisão global.</t>
  </si>
  <si>
    <t>ANASEL - Associação Nacional de Empresas de Lavandaria, Arranjos de Costura, Consertos de Sapatos e Chaves; Sindicato dos Trabalhadores do Setor de Serviços - SITESE</t>
  </si>
  <si>
    <t>117/2026</t>
  </si>
  <si>
    <t>Contrato coletivo entre a Associação dos Transitários de Portugal - APAT e o Sindicato dos Trabalhadores da Marinha Mercante, Agências de Viagens, Transitários e Pesca (SIMAMEVIP) - Alteração salarial e outra.</t>
  </si>
  <si>
    <t>BTE 5, 08/02/2024, pág. 97 (49/2024)</t>
  </si>
  <si>
    <t>CCT-ALT.20250129.28/2025</t>
  </si>
  <si>
    <t>AGENTES TRANSITÁRIOS; ATIVIDADES DOS SERVIÇOS DE LOGÍSTICA; OUTRAS ATIVIDADES DE APOIO AO TRANSPORTE, N. E.; ATIVIDADES DE SERVIÇOS DE INTERMEDIAÇÃO DOS TRANSPORTES DE MERCADORIAS; REMUNERAÇÕES; SUBSÍDIO DE REFEIÇÃO</t>
  </si>
  <si>
    <t>Associação dos Transitários de Portugal - APAT; Sindicato dos Trabalhadores da Marinha Mercante, Agências de Viagens, Transitários e Pesca (SIMAMEVIP)</t>
  </si>
  <si>
    <t>118/2026</t>
  </si>
  <si>
    <t>Acordo de empresa entre a Caravela - Companhia de Seguros, SA e o Sindicato dos Trabalhadores da Actividade Seguradora (STAS) e outro - Alteração salarial e outras.</t>
  </si>
  <si>
    <t>BTE 18, 15/05/2024, pág. 338 (214/2024)</t>
  </si>
  <si>
    <t>AE-ALT.20250515.230/2025</t>
  </si>
  <si>
    <t>SEGUROS; SEGUROS NÃO VIDA; REMUNERAÇÕES; CARREIRA PROFISSIONAL; SUBSÍDIO ESCOLAR; CATEGORIA PROFISSIONAL; DEFINIÇÃO DE FUNÇÕES; ENQUADRAMENTO SALARIAL; SUBSÍDIO DE REFEIÇÃO; DESLOCAÇÕES</t>
  </si>
  <si>
    <t>Caravela - Companhia de Seguros, SA; Sindicato dos Trabalhadores da Actividade Seguradora (STAS); Sindicato Nacional dos Profissionais de Seguros e Afins - SINAPSA</t>
  </si>
  <si>
    <t>119/2026</t>
  </si>
  <si>
    <t>Acordo de adesão entre a Confederação Nacional das Instituições de Solidariedade - CNIS e o Sindicato Independente dos Trabalhadores do Comércio, Escritórios, Serviços, Restauração e Bebidas, e outros - SITCES ao contrato coletivo entre a mesma confederação de empregadores e a FEPCES - Federação Portuguesa dos Sindicatos do Comércio, Escritórios e Serviços e outros.</t>
  </si>
  <si>
    <t>BTE 41, 08/11/2019, pág. 4310 (392/2019), BTE 2, 15/01/2021, pág. 145 (10/2021), BTE 39, 22/10/2021, pág. 3430 (238/2021), BTE 24, 29/06/2023, pág. 67 (280/2023), BTE 40, 29/10/2023, pág. 42 (481/2023), BTE 21, 08/06/2024, pág. 94 (254/2024) e BTE 33, 08/09/2025, pág. 50 (396/2025)</t>
  </si>
  <si>
    <t>CCT-ALT.20250908.396/2025</t>
  </si>
  <si>
    <t>INSTITUIÇÕES PARTICULARES DE SOLIDARIEDADE SOCIAL</t>
  </si>
  <si>
    <t>Confederação Nacional das Instituições de Solidariedade - CNIS; Sindicato Independente dos Trabalhadores do Comércio, Escritórios, Serviços, Restauração e Bebidas, e outros - SITCES</t>
  </si>
  <si>
    <t>124/2026</t>
  </si>
  <si>
    <t>Contrato coletivo entre a Associação Portuguesa de Escolas de Condução - APEC e a Federação dos Sindicatos de Transportes e Comunicações - FECTRANS - Revisão global.</t>
  </si>
  <si>
    <t>12</t>
  </si>
  <si>
    <t>Associação Portuguesa de Escolas de Condução - APEC; Federação dos Sindicatos de Transportes e Comunicações - FECTRANS</t>
  </si>
  <si>
    <t>125/2026</t>
  </si>
  <si>
    <t>Contrato coletivo entre a Associação Portuguesa de Escolas de Condução - APEC e o Sindicato dos Trabalhadores do Setor de Serviços - SITESE - Revisão global.</t>
  </si>
  <si>
    <t>Associação Portuguesa de Escolas de Condução - APEC; Sindicato dos Trabalhadores do Setor de Serviços - SITESE</t>
  </si>
  <si>
    <t>126/2026</t>
  </si>
  <si>
    <t>Acordo coletivo entre a Águas do Norte, SA e outras e o SIEAP - Sindicato das Indústrias Energias Serviços e Águas de Portugal - Alteração salarial e outras.</t>
  </si>
  <si>
    <t>ACT-ALT</t>
  </si>
  <si>
    <t>BTE 14, 15/04/2025, pág. 167 (166/2025)</t>
  </si>
  <si>
    <t>ACT-ALT.20250415.166/2025</t>
  </si>
  <si>
    <t>ABASTECIMENTO DE ÁGUA; CAPTAÇÃO E TRATAMENTO DE ÁGUA; DISTRIBUIÇÃO DE ÁGUA; RECOLHA E DRENAGEM DE ÁGUAS RESIDUAIS; TRATAMENTO DE ÁGUAS RESIDUAIS; ATIVIDADES DAS SEDES SOCIAIS; ATIVIDADES DE CONSULTORIA PARA OS NEGÓCIOS E OUTRA CONSULTORIA PARA A GESTÃO; REMUNERAÇÕES; ENQUADRAMENTO PROFISSIONAL; CARREIRA PROFISSIONAL; CATEGORIA PROFISSIONAL</t>
  </si>
  <si>
    <t>Águas do Norte, SA; Águas do Douro e Paiva, SA; SIMDOURO - Saneamento do Grande Porto, SA; AdRA - Águas da Região de Aveiro, SA; Águas do Centro Litoral, SA; Águas do Vale do Tejo, SA; Águas do Tejo Atlântico, SA; SIMARSUL - Saneamento da Península de Setúbal, SA; Águas de Santo André, SA; AgdA - Águas Públicas do Alentejo, SA; Águas do Algarve, SA; A.D.A.M. - Águas do Alto Minho, SA; AdP - Águas de Portugal, SGPS, SA; AdP Valor - Serviços Ambientais, SA; AdP - Águas de Portugal Internacional - Serviços Ambientais, SA; AdP Aqua - Gestão Ambiental de Recursos Hídricos, SA; SIEAP - Sindicato das Indústrias Energias Serviços e Águas de Portugal</t>
  </si>
  <si>
    <t>127/2026</t>
  </si>
  <si>
    <t>Acordo coletivo entre a Águas do Norte, SA e outras e o SINDEL - Sindicato Nacional da Indústria e da Energia e outro - Alteração salarial e outras e texto consolidado.</t>
  </si>
  <si>
    <t>ACT-ALT.20250415.167/2025</t>
  </si>
  <si>
    <t>ABASTECIMENTO DE ÁGUA; CAPTAÇÃO E TRATAMENTO DE ÁGUA; DISTRIBUIÇÃO DE ÁGUA; RECOLHA E DRENAGEM DE ÁGUAS RESIDUAIS; TRATAMENTO DE ÁGUAS RESIDUAIS; ATIVIDADES DAS SEDES SOCIAIS; ATIVIDADES DE CONSULTORIA PARA OS NEGÓCIOS E OUTRA CONSULTORIA PARA A GESTÃO</t>
  </si>
  <si>
    <t>Águas do Norte, SA; Águas do Douro e Paiva, SA; SIMDOURO - Saneamento do Grande Porto, SA; AdRA - Águas da Região de Aveiro, SA; Águas do Centro Litoral, SA; Águas do Vale do Tejo, SA; Águas do Tejo Atlântico, SA; SIMARSUL - Saneamento da Península de Setúbal, SA; Águas de Santo André, SA; AgdA - Águas Públicas do Alentejo, SA; Águas do Algarve, SA; A.D.A.M. - Águas do Alto Minho, SA; AdP - Águas de Portugal, SGPS, SA; AdP Valor - Serviços Ambientais, SA; AdP - Águas de Portugal Internacional - Serviços Ambientais, SA; AdP Aqua - Gestão Ambiental de Recursos Hídricos, SA; SINDEL - Sindicato Nacional da Indústria e da Energia; Sindicato dos Trabalhadores da Administração Pública e de Entidades com Fins Públicos - SINTAP</t>
  </si>
  <si>
    <t>128/2026</t>
  </si>
  <si>
    <t>Acordo coletivo entre a Águas do Norte, SA e outras e o STAL - Sindicato Nacional dos Trabalhadores da Administração Local e Regional, Empresas Públicas, Concessionárias e Afins e outra - Alteração salarial e outras.</t>
  </si>
  <si>
    <t>BTE 18, 15/05/2024, pág. 238 (212/2024)</t>
  </si>
  <si>
    <t>ACT-ALT.20240515.212/2024</t>
  </si>
  <si>
    <t>Águas do Norte, SA; Águas do Douro e Paiva, SA; SIMDOURO - Saneamento do Grande Porto, SA; AdRA - Águas da Região de Aveiro, SA; Águas do Centro Litoral, SA; Águas do Vale do Tejo, SA; Águas do Tejo Atlântico, SA; SIMARSUL - Saneamento da Península de Setúbal, SA; Águas de Santo André, SA; AgdA - Águas Públicas do Alentejo, SA; Águas do Algarve, SA; A.D.A.M. - Águas do Alto Minho, SA; AdP - Águas de Portugal, SGPS, SA; AdP Valor - Serviços Ambientais, SA; AdP - Águas de Portugal Internacional - Serviços Ambientais, SA; AdP Aqua - Gestão Ambiental de Recursos Hídricos, SA; STAL - Sindicato Nacional dos Trabalhadores da Administração Local e Regional, Empresas Públicas, Concessionárias e Afins; Federação Intersindical das Indústrias Metalúrgicas, Químicas, Eléctricas, Farmacêutica, Celulose, Papel, Gráfica, Imprensa, Energia e Minas - FIEQUIMETAL</t>
  </si>
  <si>
    <t>129/2026</t>
  </si>
  <si>
    <t>Acordo coletivo de trabalho n.º 16/2026 - Acordo coletivo de empregador público entre a Freguesia da Barrosa e o STAL - Sindicato Nacional dos Trabalhadores da Administração Local e Regional, Empresas Públicas, Concessionárias e Afins.</t>
  </si>
  <si>
    <t>13</t>
  </si>
  <si>
    <t>Acordo Coletivo de Trabalho n.º 3/2022 - Diário da República n.º 13/2022, Série II de 2022-01-19</t>
  </si>
  <si>
    <t>Freguesia da Barrosa; STAL - Sindicato Nacional dos Trabalhadores da Administração Local e Regional, Empresas Públicas, Concessionárias e Afins</t>
  </si>
  <si>
    <t>130/2026</t>
  </si>
  <si>
    <t>Acordo coletivo de trabalho n.º 17/2026 - Acordo coletivo de cmpregador público entre a Freguesia de Alcáçovas e o STAL - Sindicato Nacional dos Trabalhadores da Administração Local e Regional, Empresas Públicas, Concessionárias e Afins.</t>
  </si>
  <si>
    <t>Acordo Coletivo de Trabalho n.º 59/2019 - Diário da República n.º 76/2019, Série II de 2019-04-17</t>
  </si>
  <si>
    <t>Freguesia de Alcáçovas; STAL - Sindicato Nacional dos Trabalhadores da Administração Local e Regional, Empresas Públicas, Concessionárias e Afins</t>
  </si>
  <si>
    <t>133/2026</t>
  </si>
  <si>
    <t>Portaria n.º 384/2025/1, de 11 de novembro, que determina a extensão do contrato coletivo e suas alterações entre a Confederação Nacional da Educação e Formação (CNEF) e a Federação Nacional dos Professores - FENPROF - Aviso - Citação de contrainteressados.</t>
  </si>
  <si>
    <t>PE-ALT</t>
  </si>
  <si>
    <t>BTE 46, 15/12/2022, pág.4579 (318/2022) e BTE 31, 22/08/2024, pág. 50 (349/2024) Aviso n.º 7872/2026/2 - Diário da República n.º 68/2026, Série II de 2026-04-08</t>
  </si>
  <si>
    <t>PE.20251124.506/2025</t>
  </si>
  <si>
    <t>ENSINO PARTICULAR; EDUCAÇÃO; ENSINO PRÉ-ESCOLAR; ENSINO BÁSICO (1.º CICLO); ENSINO BÁSICO (2.º CICLO); ENSINO BÁSICO (3.º CICLO) E SECUNDÁRIO GERAL; ENSINO SECUNDÁRIO PROFISSIONAL; ENSINO PÓS-SECUNDÁRIO NÃO SUPERIOR; FORMAÇÃO PROFISSIONAL; ESCOLAS DE LÍNGUAS; CONVENÇÃO COLETIVA DE TRABALHO; INTERPRETAÇÃO DO DIREITO</t>
  </si>
  <si>
    <t>134/2026</t>
  </si>
  <si>
    <t>Contrato coletivo entre a GROQUIFAR - Associação de Grossistas de Produtos Químicos e Farmacêuticos e o Sindicato das Indústrias e Afins - SINDEQ (produtos farmacêuticos) - Alteração salarial e outras.</t>
  </si>
  <si>
    <t>BTE 17, 08/05/2024, pág. 88 (198/2024)</t>
  </si>
  <si>
    <t>GROQUIFAR - Associação de Grossistas de Produtos Químicos e Farmacêuticos; Sindicato das Indústrias e Afins - SINDEQ</t>
  </si>
  <si>
    <t>135/2026</t>
  </si>
  <si>
    <t>Acordo de empresa entre a Transportes Aéreos Portugueses, SA e o Sindicato das Indústrias Metalúrgicas e Afins - SIMA e outros - Alteração salarial e outras.</t>
  </si>
  <si>
    <t>BTE 9, 08/03/2024, pág. 119 (112/2024) e BTE 2, 15/01/2025, pág. 59 (7/2025)</t>
  </si>
  <si>
    <t>AE-ALT.20250115.7/2025</t>
  </si>
  <si>
    <t>TRANSPORTES AÉREOS; TRANSPORTES AÉREOS DE PASSAGEIROS; TRANSPORTES AÉREOS DE MERCADORIAS; REPARAÇÃO E MANUTENÇÃO DE AERONAVES E DE VEÍCULOS ESPACIAIS CIVIS; REMUNERAÇÕES; CARREIRA PROFISSIONAL; CATEGORIA PROFISSIONAL; AVALIAÇÃO DO DESEMPENHO; DEFINIÇÃO DE FUNÇÕES; CONDIÇÕES DE ADMISSÃO; DESEMPENHO TEMPORÁRIO DE FUNÇÕES</t>
  </si>
  <si>
    <t>Transportes Aéreos Portugueses, SA; Sindicato das Indústrias Metalúrgicas e Afins - SIMA; Sindicato Nacional dos Trabalhadores da Aviação Civil - SINTAC; Sindicato dos Quadros da Aviação Comercial - SQAC; Sindicato dos Trabalhadores dos Transportes de Portugal - STTAMP; STAMA - Sindicato dos Trabalhadores dos Aeroportos, Manutenção e Aviação; SIA - Sindicato da Indústria Aeronáutica</t>
  </si>
  <si>
    <t>136/2026</t>
  </si>
  <si>
    <t>Acordo de empresa entre a Transportes Aéreos Portugueses, SA e o Sindicato dos Trabalhadores da Aviação e Aeroportos - SITAVA e outro - Alteração salarial e outras.</t>
  </si>
  <si>
    <t>137/2026</t>
  </si>
  <si>
    <t>Acordo de empresa entre a EMPORDEF - Tecnologias de Informação, SA e o Sindicato dos Trabalhadores da Aviação e Aeroportos - SITAVA e outro - Alteração salarial e outras.</t>
  </si>
  <si>
    <t>BTE 15, 22/04/2024, pág. 170 (181/2024)</t>
  </si>
  <si>
    <t>AE-ALT.20250331.135/2025</t>
  </si>
  <si>
    <t>TECNOLOGIAS DE INFORMAÇÃO; ATIVIDADES DE PROGRAMAÇÃO INFORMÁTICA; REMUNERAÇÕES; SUBSÍDIO DE ALIMENTAÇÃO; SEGURO DE SAÚDE; SUBSÍDIO INFANTIL</t>
  </si>
  <si>
    <t>EMPORDEF - Tecnologias de Informação, SA; Sindicato dos Trabalhadores da Aviação e Aeroportos - SITAVA; Sindicato Nacional dos Trabalhadores da Aviação Civil - SINTAC</t>
  </si>
  <si>
    <t>138/2026</t>
  </si>
  <si>
    <t>Acordo de empresa entre a Autoridade Nacional de Comunicações (ANACOM) e o SINDETELCO - Sindicato Democrático dos Trabalhadores dos Correios, Telecomunicações, Media e Serviços e outros - Alteração salarial e outra.</t>
  </si>
  <si>
    <t>BTE 42, 15/11/2009, pág. 4607 (402/2009)</t>
  </si>
  <si>
    <t>AE-ALT.20250915.398/2025</t>
  </si>
  <si>
    <t>TELECOMUNICAÇÕES; REGULAÇÃO E PROMOÇÃO DA EFICIÊNCIA DA ATIVIDADE ECONÓMICA; REMUNERAÇÕES; DIUTURNIDADES</t>
  </si>
  <si>
    <t>Autoridade Nacional de Comunicações (ANACOM); SINDETELCO - Sindicato Democrático dos Trabalhadores dos Correios, Telecomunicações, Media e Serviços; Sindicato Nacional dos Trabalhadores das Telecomunicações e Audiovisual - SINTTAV; SERS - Sindicato dos Engenheiros</t>
  </si>
  <si>
    <t>139/2026</t>
  </si>
  <si>
    <t>Acordo coletivo de trabalho n.º 18/2026 - Acordo coletivo de empregador público entre a Freguesia de Alte e o Sindicato dos Trabalhadores da Administração Pública e de Entidades com Fins Públicos - SINTAP.</t>
  </si>
  <si>
    <t>14</t>
  </si>
  <si>
    <t>Acordo Coletivo de Trabalho n.º 33/2022 - Diário da República n.º 188/2022, Série II de 2022-09-28</t>
  </si>
  <si>
    <t>Freguesia de Alte; Sindicato dos Trabalhadores da Administração Pública e de Entidades com Fins Públicos - SINTAP</t>
  </si>
  <si>
    <t>140/2026</t>
  </si>
  <si>
    <t>Acordo coletivo de trabalho n.º 19/2026 - Acordo coletivo de empregador público entre a Freguesia de Silveiras e o STAL - Sindicato Nacional dos Trabalhadores da Administração Local e Regional, Empresas Públicas, Concessionárias e Afins.</t>
  </si>
  <si>
    <t>Freguesia de Silveiras; STAL - Sindicato Nacional dos Trabalhadores da Administração Local e Regional, Empresas Públicas, Concessionárias e Afins</t>
  </si>
  <si>
    <t>142/2026</t>
  </si>
  <si>
    <t>Portaria de extensão das alterações do contrato coletivo entre a Confederação Nacional das Instituições de Solidariedade - CNIS e a Federação Nacional dos Sindicatos dos Trabalhadores em Funções Públicas e Sociais - FNSTFPS.</t>
  </si>
  <si>
    <t>BTE 39, 22/10/2025, pág. 11 (442/2025) Portaria n.º 140/2026/1 - Diário da República n.º 64/2026, Série I de 2026-04-01</t>
  </si>
  <si>
    <t>CCT-ALT.20251022.442/2025</t>
  </si>
  <si>
    <t>143/2026</t>
  </si>
  <si>
    <t>Portaria de extensão das alterações do contrato coletivo entre a APCOR - Associação Portuguesa da Cortiça e o Sindicato das Indústrias e Afins - SINDEQ (pessoal fabril).</t>
  </si>
  <si>
    <t>BTE 30, 15/08/2025, pág. 126 (364/2025) Portaria n.º 139/2026/1 - Diário da República n.º 64/2026, Série I de 2026-04-01</t>
  </si>
  <si>
    <t>CCT-ALT.20250818.364/2025</t>
  </si>
  <si>
    <t>144/2026</t>
  </si>
  <si>
    <t>Portaria de extensão das alterações do contrato coletivo entre a ABIMOTA - Associação Nacional das Indústrias de Duas Rodas, Ferragens, Mobiliário e atividades complementares dos setores representados e o SINDEL - Sindicato Nacional da Indústria e da Energia e outro.</t>
  </si>
  <si>
    <t>BTE 37, 08/10/2025, pág. 86 (428/2025) Portaria n.º 138/2026/1 - Diário da República n.º 64/2026, Série I de 2026-04-01</t>
  </si>
  <si>
    <t>CCT-ALT.20251008.428/2025</t>
  </si>
  <si>
    <t>METALURGIA; FABRICAÇÃO DE FECHADURAS, DOBRADIÇAS E OUTRAS FERRAGENS; FABRICAÇÃO DE MOTOCICLOS; FABRICAÇÃO DE BICICLETAS E DE VEÍCULOS PARA INVÁLIDOS; FABRICAÇÃO DE MOBILIÁRIO METÁLICO PARA OUTROS FINS</t>
  </si>
  <si>
    <t>145/2026</t>
  </si>
  <si>
    <t>Portaria de extensão do contrato coletivo entre a ACILIS - Associação de Comércio, Indústria, Serviços e Turismo da Região de Leiria e outras e o CESP - Sindicato dos Trabalhadores do Comércio, Escritórios e Serviços de Portugal.</t>
  </si>
  <si>
    <t>BTE 36, 29/09/2025, pág. 40 (417/2025) Portaria n.º 141/2026/1 - Diário da República n.º 64/2026, Série I de 2026-04-01</t>
  </si>
  <si>
    <t>CCT.20250929.417/2025</t>
  </si>
  <si>
    <t>COMÉRCIO. LEIRIA; COMÉRCIO POR GROSSO; COMÉRCIO A RETALHO; ATIVIDADES DE SALÕES DE CABELEIREIRO E BARBEIROS; ATIVIDADES DE CUIDADOS DE BELEZA E OUTRAS ATIVIDADES DE TRATAMENTOS DE BELEZA; ATIVIDADES FUNERÁRIAS E CONEXAS</t>
  </si>
  <si>
    <t>146/2026</t>
  </si>
  <si>
    <t>Acordo coletivo entre a Associação de Regantes e Beneficiários do Vale do Sorraia e outras e o Sindicato Nacional dos Trabalhadores da Agricultura, Floresta, Pesca, Turismo, Indústria Alimentar, Bebidas e Afins - SETAAB - Revisão global.</t>
  </si>
  <si>
    <t>ACT.20250408.142/2025</t>
  </si>
  <si>
    <t>AGRICULTURA; ATIVIDADES DE APOIO À AGRICULTURA</t>
  </si>
  <si>
    <t>Associação de Regantes e Beneficiários do Vale do Sorraia; Associação de Beneficiários da Obra de Fomento Hidroagrícola do Baixo Mondego; Associação de Beneficiários do Vale do Sado; Associação de Beneficiários do Caia; Associação de Beneficiários da Barragem dos Minutos; Associação de Regantes e Beneficiários de Idanha-a-Nova; Associação de Beneficiários do Divor; Associação de Beneficiários da Obra da Vigia; Associação de Beneficiários da Obra de Rega de Odivelas; Associação de Beneficiários da Lezíria Grande de Vila Franca de Xira; Associação de Beneficiários do Lucefecit; Associação de Regantes e Beneficiários de Campilhas e Alto Sado; Associação de Regantes e Beneficiários de Silves, Lagoa e Portimão; Associação de Beneficiários do Roxo; Associação de Regantes e Beneficiários do Vale do Lis; Associação de Beneficiários da Cela; Associação de Beneficiários de Alvega; Associação de Regantes e Beneficiários da Veiga de Chaves; Associação dos Beneficiários da Cova da Beira; Associação de Beneficiários do Plano de Rega do Sotavento do Algarve; Associação de Beneficiários do Regadio do Cávado; Associação de Beneficiários do Xévora; Associação de Beneficiários do Perímetro de Rega de Veiros; Sindicato Nacional dos Trabalhadores da Agricultura, Floresta, Pesca, Turismo, Indústria Alimentar, Bebidas e Afins - SETAAB</t>
  </si>
  <si>
    <t>147/2026</t>
  </si>
  <si>
    <t>Acordo de empresa entre a Tabaqueira - Empresa Industrial de Tabacos, SA e a FESAHT - Federação dos Sindicatos da Agricultura, Alimentação, Bebidas, Hotelaria e Turismo de Portugal e outros - Alteração salarial e outras.</t>
  </si>
  <si>
    <t>BTE 29, 08/08/2023, pág. 339 (362/2023)</t>
  </si>
  <si>
    <t>AE-ALT.20240829.375/2024</t>
  </si>
  <si>
    <t>TABACO; INDÚSTRIA DO TABACO; REMUNERAÇÕES; SUBSÍDIO DE TURNO; SUBSÍDIO DE ALIMENTAÇÃO; ABONO PARA FALHAS; SUBSÍDIO DE PREVENÇÃO; SUBSÍDIO DE EDUCAÇÃO; SUBSÍDIO INFANTIL; SUBSÍDIO DE FUNERAL; SUBSÍDIO DE MATERNIDADE; PRÉMIO DE COMPETITIVIDADE</t>
  </si>
  <si>
    <t>Tabaqueira - Empresa Industrial de Tabacos, SA; FESAHT - Federação dos Sindicatos da Agricultura, Alimentação, Bebidas, Hotelaria e Turismo de Portugal; Sindicato dos Trabalhadores do Setor de Serviços - SITESE; SINDEL - Sindicato Nacional da Indústria e da Energia; Sindicato das Indústrias e Afins - SINDEQ; Federação de Sindicatos da Indústria, Energia e Transportes - COFESINT; FE - Federação dos Engenheiros</t>
  </si>
  <si>
    <t>148/2026</t>
  </si>
  <si>
    <t>Acordo de empresa entre a LEICA - Aparelhos Ópticos de Precisão, SA e a Federação Portuguesa dos Sindicatos da Construção, Cerâmica e Vidro - FEVICCOM - Alteração salarial e outra e texto consolidado.</t>
  </si>
  <si>
    <t>AE-ALT.20250616.282/2025</t>
  </si>
  <si>
    <t>ÓPTICA; FABRICAÇÃO DE INSTRUMENTOS E EQUIPAMENTOS ÓTICOS NÃO OFTÁLMICOS E SUPORTES DE INFORMAÇÃO MAGNÉTICOS E ÓTICOS</t>
  </si>
  <si>
    <t>LEICA - Aparelhos Ópticos de Precisão, SA; Federação Portuguesa dos Sindicatos da Construção, Cerâmica e Vidro - FEVICCOM</t>
  </si>
  <si>
    <t>149/2026</t>
  </si>
  <si>
    <t>Acordo de empresa entre a Mútua dos Pescadores - Mútua de Seguros, CRL e o Sindicato Nacional dos Profissionais de Seguros e Afins - SINAPSA e outro - Alteração salarial e outras.</t>
  </si>
  <si>
    <t>BTE 29, 08/08/2024, pág. 123 (332/2024) e BTE 9, 08/03/2025, pág. 199 (97/2025)</t>
  </si>
  <si>
    <t>AE-ALT.20250310.97/2025</t>
  </si>
  <si>
    <t>SEGUROS; SEGUROS NÃO VIDA; REMUNERAÇÕES; PARENTALIDADE; SUBSÍDIO DE ESTUDO; SUBSÍDIO DE REFEIÇÃO; DESLOCAÇÕES; PENSÃO DE REFORMA</t>
  </si>
  <si>
    <t>Mútua dos Pescadores - Mútua de Seguros, CRL; Sindicato Nacional dos Profissionais de Seguros e Afins - SINAPSA; Sindicato dos Trabalhadores da Actividade Seguradora (STAS)</t>
  </si>
  <si>
    <t>150/2026</t>
  </si>
  <si>
    <t>Acordo de empresa entre a Santa Casa da Misericórdia de Lisboa - SCML e o SNE - Sindicato Nacional dos Enfermeiros e outros - Alteração salarial e outras e texto consolidado.</t>
  </si>
  <si>
    <t>AE-ALT.20250508.217/2025</t>
  </si>
  <si>
    <t>INSTITUIÇÕES PARTICULARES DE SOLIDARIEDADE SOCIAL; OUTRAS ATIVIDADES DE AÇÃO SOCIAL SEM ALOJAMENTO, N. E.; ENSINO SUPERIOR; ATIVIDADES DOS ESTABELECIMENTOS DE SAÚDE COM INTERNAMENTO</t>
  </si>
  <si>
    <t>Santa Casa da Misericórdia de Lisboa - SCML; SNE - Sindicato Nacional dos Enfermeiros; Sindicato Democrático dos Enfermeiros de Portugal - SINDEPOR; SITEU - Sindicato Independente de Todos os Enfermeiros Unidos do Continente e Ilhas; Sindicato dos Enfermeiros - SE; Sindicato Independente dos Profissionais de Enfermagem - SIPENF</t>
  </si>
  <si>
    <t>151/2026</t>
  </si>
  <si>
    <t>Acordo de empresa entre a Viking Cruises Portugal, SA e a Federação de Sindicatos dos Trabalhadores do Mar - FESMAR - Alteração salarial e outras.</t>
  </si>
  <si>
    <t>BTE 10, 15/03/2024, pág. 84 (128/2024)</t>
  </si>
  <si>
    <t>AE-ALT.20250228.75/2025</t>
  </si>
  <si>
    <t>EXCURSÕES MARÍTIMAS TURÍSTICAS; ORGANIZAÇÃO DE ATIVIDADES DE ANIMAÇÃO TURÍSTICA; REMUNERAÇÕES; SUBSÍDIO DE REFEIÇÃO; ALIMENTAÇÃO A BORDO; INDEMNIZAÇÃO POR PERDA DE BENS</t>
  </si>
  <si>
    <t>Viking Cruises Portugal, SA; Federação de Sindicatos dos Trabalhadores do Mar - FESMAR</t>
  </si>
  <si>
    <t>152/2026</t>
  </si>
  <si>
    <t>Acordo coletivo de trabalho n.º 20/2026 - Acordo coletivo de empregador público entre a Freguesia de São Gregório e Santa Justa e o STAL - Sindicato Nacional dos Trabalhadores da Administração Local e Regional, Empresas Públicas, Concessionárias e Afins.</t>
  </si>
  <si>
    <t>15</t>
  </si>
  <si>
    <t>Acordo Coletivo de Trabalho n.º 32/2018 - Diário da República n.º 77/2018, Série II de 2018-04-19</t>
  </si>
  <si>
    <t>Freguesia de São Gregório e Santa Justa; STAL - Sindicato Nacional dos Trabalhadores da Administração Local e Regional, Empresas Públicas, Concessionárias e Afins</t>
  </si>
  <si>
    <t>153/2026</t>
  </si>
  <si>
    <t>Acordo coletivo de trabalho n.º 21/2026 - Acordo coletivo de empregador público entre o Município de Aljustrel e o STAL - Sindicato Nacional dos Trabalhadores da Administração Local e Regional, Empresas Públicas, Concessionárias e Afins.</t>
  </si>
  <si>
    <t>Acordo Coletivo de Trabalho n.º 6/2020 - Diário da República n.º 21/2020, Série II de 2020-01-30</t>
  </si>
  <si>
    <t>Município de Aljustrel; STAL - Sindicato Nacional dos Trabalhadores da Administração Local e Regional, Empresas Públicas, Concessionárias e Afins</t>
  </si>
  <si>
    <t>154/2026</t>
  </si>
  <si>
    <t>Aviso n.º 4/2026 - Alteração e texto consolidado ao Acordo Coletivo de Trabalho n.º 66/2015 entre o Município de Óbidos e o Sindicato dos Trabalhadores da Administração Pública e de Entidades com Fins Públicos - SINTAP.</t>
  </si>
  <si>
    <t>Acordo Coletivo de Trabalho n.º 66/2015 - Diário da República n.º 188/2015, Série II de 2015-09-25</t>
  </si>
  <si>
    <t>Município de Óbidos; Sindicato dos Trabalhadores da Administração Pública e de Entidades com Fins Públicos - SINTAP</t>
  </si>
  <si>
    <t>155/2026</t>
  </si>
  <si>
    <t>Aviso n.º 5/2026 - Alteração ao Acordo coletivo de trabalho n.º 57/2025 da Carreira Especial Médica entre os empregadores públicos e o Sindicato Independente dos Médicos - SIM.</t>
  </si>
  <si>
    <t>Acordo coletivo de trabalho n.º 57/2025, de 22 de junho, Boletim do Trabalho e Emprego (BTE), n.º 23 (Volume 92), pág. 14</t>
  </si>
  <si>
    <t>Acordo Colectivo de Trabalho n.º 57/2025</t>
  </si>
  <si>
    <t>EMPREGO PÚBLICO; ATIVIDADES DOS ESTABELECIMENTOS DE SAÚDE COM INTERNAMENTO; ATIVIDADES DE PRÁTICA CLÍNICA GERAL; ATIVIDADES MÉDICAS ESPECIALIZADAS; AVALIAÇÃO DO DESEMPENHO</t>
  </si>
  <si>
    <t>Entidades Empregadoras Públicas; Sindicato Independente dos Médicos - SIM</t>
  </si>
  <si>
    <t>157/2026</t>
  </si>
  <si>
    <t>Contrato coletivo entre a Associação dos Agricultores do Ribatejo - Organização de Empregadores dos Distritos de Santarém, Lisboa e Leiria e o Sindicato Nacional dos Trabalhadores da Agricultura, Floresta, Pesca, Turismo, Indústria Alimentar, Bebidas e Afins - SETAAB - Revisão global.</t>
  </si>
  <si>
    <t>Associação dos Agricultores do Ribatejo - Organização de Empregadores dos Distritos de Santarém, Lisboa e Leiria; Sindicato Nacional dos Trabalhadores da Agricultura, Floresta, Pesca, Turismo, Indústria Alimentar, Bebidas e Afins - SETAAB</t>
  </si>
  <si>
    <t>158/2026</t>
  </si>
  <si>
    <t>Contrato coletivo entre a Confederação Nacional das Instituições de Solidariedade - CNIS e a FNE - Federação Nacional da Educação e outros - Alteração salarial e outras.</t>
  </si>
  <si>
    <t>BTE 30, 15/08/2025, pág. 30 (362/2025) com retificação BTE 43, 22/11/2025, pág. 155 (513/2025)</t>
  </si>
  <si>
    <t>CCT.20250818.362/2025; CCT-RECT.20251124.513/2025</t>
  </si>
  <si>
    <t>INSTITUIÇÕES PARTICULARES DE SOLIDARIEDADE SOCIAL; REMUNERAÇÕES; TRABALHO AO DOMINGO; DESCANSO SEMANAL; FÉRIAS; FALTAS JUSTIFICADAS; ABONO PARA FALHAS; SUBSÍDIO DE REFEIÇÃO; CONDIÇÕES DE ADMISSÃO; CATEGORIA PROFISSIONAL; ENQUADRAMENTO PROFISSIONAL</t>
  </si>
  <si>
    <t>Confederação Nacional das Instituições de Solidariedade - CNIS; FNE - Federação Nacional da Educação; Sindicato dos Técnicos Superiores de Diagnóstico e Terapêutica - SINDITE; Sindicato dos Trabalhadores dos Transportes - SITRA; Sindicato Nacional dos Profissionais da Educação - SINAPE; Sindicato dos Trabalhadores do Setor de Serviços - SITESE; Sindicato Nacional e Democrático dos Professores - SINDEP; Sindicato dos Trabalhadores da Administração Pública e de Entidades com Fins Públicos - SINTAP</t>
  </si>
  <si>
    <t>159/2026</t>
  </si>
  <si>
    <t>Contrato coletivo entre a Associação Nacional dos Industriais de Lanifícios (ANIL) e outra e a Federação dos Sindicatos dos Trabalhadores Têxteis, Lanifícios, Vestuário, Calçado e Peles de Portugal - FESETE - Alteração salarial e outras.</t>
  </si>
  <si>
    <t>BTE 12, 29/03/2024, pág. 26 (143/2024)</t>
  </si>
  <si>
    <t>CCT-ALT.20240401.143/2024</t>
  </si>
  <si>
    <t>TÊXTIL; FABRICAÇÃO DE TÊXTEIS; REMUNERAÇÕES; PERÍODO NORMAL DE TRABALHO; TRABALHO POR TURNOS; FALTAS JUSTIFICADAS; SUBSÍDIO DE REFEIÇÃO; CATEGORIA PROFISSIONAL; DEFINIÇÃO DE FUNÇÕES; ENQUADRAMENTO PROFISSIONAL</t>
  </si>
  <si>
    <t>Associação Nacional dos Industriais de Lanifícios (ANIL); ANIT-LAR - Associação Nacional das Indústrias de Têxteis-Lar; Federação dos Sindicatos dos Trabalhadores Têxteis, Lanifícios, Vestuário, Calçado e Peles de Portugal - FESETE</t>
  </si>
  <si>
    <t>160/2026</t>
  </si>
  <si>
    <t>Contrato coletivo entre a Associação Nacional dos Industriais de Lanifícios (ANIL) e outra e o Sindicato das Indústrias e Afins - SINDEQ - Alteração salarial e outras.</t>
  </si>
  <si>
    <t>BTE 12, 29/03/2024, pág. 120 (144/2024) e BTE 18, 15/05/2025, pág. 121 (226/2025)</t>
  </si>
  <si>
    <t>TÊXTIL; FABRICAÇÃO DE TÊXTEIS; REMUNERAÇÕES; FALTAS JUSTIFICADAS; SUBSÍDIO DE REFEIÇÃO; CATEGORIA PROFISSIONAL; DEFINIÇÃO DE FUNÇÕES; ENQUADRAMENTO PROFISSIONAL</t>
  </si>
  <si>
    <t>Associação Nacional dos Industriais de Lanifícios (ANIL); ANIT-LAR - Associação Nacional das Indústrias de Têxteis-Lar; Sindicato das Indústrias e Afins - SINDEQ</t>
  </si>
  <si>
    <t>161/2026</t>
  </si>
  <si>
    <t>Contrato coletivo entre a Associação Portuguesa dos Industriais de Curtumes e a Federação dos Sindicatos dos Trabalhadores Têxteis, Lanifícios, Vestuário, Calçado e Peles de Portugal - FESETE - Alteração salarial e outras e texto consolidado.</t>
  </si>
  <si>
    <t>Associação Portuguesa dos Industriais de Curtumes; Federação dos Sindicatos dos Trabalhadores Têxteis, Lanifícios, Vestuário, Calçado e Peles de Portugal - FESETE</t>
  </si>
  <si>
    <t>162/2026</t>
  </si>
  <si>
    <t>Contrato coletivo entre a Associação Portuguesa da Indústria Farmacêutica - APIFARMA e o Sindicato dos Trabalhadores do Setor de Serviços - SITESE e outros - Alteração salarial e outras.</t>
  </si>
  <si>
    <t>BTE 43, 22/11/2024, pág. 16 (506/2024)</t>
  </si>
  <si>
    <t>CCT.20241122.506/2024</t>
  </si>
  <si>
    <t>PRODUTOS FARMACÊUTICOS; FABRICAÇÃO DE PRODUTOS FARMACÊUTICOS DE BASE; FABRICAÇÃO DE MEDICAMENTOS; FABRICAÇÃO DE OUTRAS PREPARAÇÕES E DE ARTIGOS FARMACÊUTICOS; REMUNERAÇÕES; REGIME DE PREVENÇÃO; SUBSÍDIO DE PREVENÇÃO; DESLOCAÇÕES; VIAGENS EM SERVIÇO; SUBSÍDIO DE REFEIÇÃO; ABONO PARA FALHAS</t>
  </si>
  <si>
    <t>Associação Portuguesa da Indústria Farmacêutica - APIFARMA; Sindicato dos Trabalhadores do Setor de Serviços - SITESE; Sindicato das Indústrias e Afins - SINDEQ; Federação de Sindicatos da Indústria, Energia e Transportes - COFESINT; FE - Federação dos Engenheiros; Sindicato das Indústrias Metalúrgicas e Afins - SIMA</t>
  </si>
  <si>
    <t>163/2026</t>
  </si>
  <si>
    <t>Contrato coletivo entre a Associação Comercial, Industrial e de Serviços de Bragança - ACISB e outras e o Sindicato Independente dos Trabalhadores do Comércio, Escritórios, Serviços, Restauração e Bebidas, e outros - SITCES - Alteração salarial e outras.</t>
  </si>
  <si>
    <t>BTE 31, 22/08/2025, pág. 4 (373/2025)</t>
  </si>
  <si>
    <t>CCT.20250822.373/2025</t>
  </si>
  <si>
    <t>COMÉRCIO. BRAGANÇA; COMÉRCIO POR GROSSO; COMÉRCIO A RETALHO; ATIVIDADES DE SALÕES DE CABELEIREIRO E BARBEIROS; ATIVIDADES FUNERÁRIAS E CONEXAS; REMUNERAÇÕES; HORÁRIO DE TRABALHO; TRABALHO AO SÁBADO; SUBSÍDIO DE ALIMENTAÇÃO; SALVAGUARDA DE DIREITOS</t>
  </si>
  <si>
    <t>Associação Comercial, Industrial e de Serviços de Bragança - ACISB; Associação Comercial e Industrial e de Serviços de Macedo de Cavaleiros (ACISMC); Associação Comercial e Industrial de Mirandela (ACIM); Sindicato Independente dos Trabalhadores do Comércio, Escritórios, Serviços, Restauração e Bebidas, e outros - SITCES</t>
  </si>
  <si>
    <t>164/2026</t>
  </si>
  <si>
    <t>Contrato coletivo entre a Associação Comercial e Empresarial dos Concelhos de Oeiras e Amadora e outras e o Sindicato dos Trabalhadores do Setor de Serviços - SITESE - Alteração salarial e outras.</t>
  </si>
  <si>
    <t>BTE 36, 29/09/2024, pág. 136 (418/2024)</t>
  </si>
  <si>
    <t>CCT-ALT.20240930.418/2024</t>
  </si>
  <si>
    <t>COMÉRCIO. LISBOA; COMÉRCIO POR GROSSO; COMÉRCIO A RETALHO; ATIVIDADES DE SERVIÇOS PESSOAIS; REMUNERAÇÕES; PERÍODO EXPERIMENTAL; SUBSÍDIO DE REFEIÇÃO; BANCO DE HORAS; FORMAÇÃO PROFISSIONAL</t>
  </si>
  <si>
    <t>Associação Comercial e Empresarial dos Concelhos de Oeiras e Amadora; AESINTRA - Associação Empresarial do Concelho de Sintra; Associação Empresarial de Comércio e Serviços dos Concelhos de Loures e Odivelas; ACISVFXAV - Associação Empresarial dos Concelhos de Vila Franca de Xira e Arruda dos Vinhos; Associação Comercial e Industrial do Concelho de Alenquer - ACICA; Sindicato dos Trabalhadores do Setor de Serviços - SITESE</t>
  </si>
  <si>
    <t>165/2026</t>
  </si>
  <si>
    <t>Contrato coletivo entre a Associação Portuguesa de Empresas de Distribuição - APED e o Sindicato dos Trabalhadores do Setor de Serviços - SITESE - Alteração salarial e outras.</t>
  </si>
  <si>
    <t>BTE 33, 08/09/2024, pág. 137 (385/2024)</t>
  </si>
  <si>
    <t>SUPERMERCADOS E HIPERMERCADOS; COMÉRCIO A RETALHO EM SUPERMERCADOS E HIPERMERCADOS; REMUNERAÇÕES; HORÁRIO DE TRABALHO; MODALIDADES DE HORÁRIO DE TRABALHO; SUBSÍDIO DE ALIMENTAÇÃO; FORMAÇÃO PROFISSIONAL; ENSINO À DISTÂNCIA</t>
  </si>
  <si>
    <t>Associação Portuguesa de Empresas de Distribuição - APED; Sindicato dos Trabalhadores do Setor de Serviços - SITESE</t>
  </si>
  <si>
    <t>166/2026</t>
  </si>
  <si>
    <t>Acordo coletivo entre a LACTICOOP - União de Cooperativas de Produtores de Leite de Entre Douro e Mondego, UCRL e outra e o Sindicato dos Profissionais de Lacticínios, Alimentação, Agricultura, Escritórios, Comércio, Serviços, Transportes Rodoviários, Metalomecânica, Metalurgia, Construção Civil e Madeiras - Revisão global.</t>
  </si>
  <si>
    <t>ACT.20251008.429/2025</t>
  </si>
  <si>
    <t>LACTICOOP - União de Cooperativas de Produtores de Leite de Entre Douro e Mondego, UCRL; LACTICOOP - SGPS, Unipessoal L.da.; Sindicato dos Profissionais de Lacticínios, Alimentação, Agricultura, Escritórios, Comércio, Serviços, Transportes Rodoviários, Metalomecânica, Metalurgia, Construção Civil e Madeiras</t>
  </si>
  <si>
    <t>167/2026</t>
  </si>
  <si>
    <t>Acordo coletivo entre a LACTICOOP - União de Cooperativas de Produtores de Leite de Entre Douro e Mondego, UCRL e outra e o Sindicato Nacional dos Trabalhadores da Agricultura, Floresta, Pesca, Turismo, Indústria Alimentar, Bebidas e Afins - SETAAB - Revisão global.</t>
  </si>
  <si>
    <t>ACT-ALT.20250331.133/2025</t>
  </si>
  <si>
    <t>LACTICOOP - União de Cooperativas de Produtores de Leite de Entre Douro e Mondego, UCRL; LACTICOOP - SGPS, Unipessoal L.da; Sindicato Nacional dos Trabalhadores da Agricultura, Floresta, Pesca, Turismo, Indústria Alimentar, Bebidas e Afins - SETAAB</t>
  </si>
  <si>
    <t>168/2026</t>
  </si>
  <si>
    <t>Acordo de empresa entre a EPAL - Empresa Portuguesa das Águas Livres, SA e o Sindicato dos Trabalhadores do Setor de Serviços - SITESE e outros - Alteração salarial e texto consolidado.</t>
  </si>
  <si>
    <t>AE-ALT.20250415.171/2025</t>
  </si>
  <si>
    <t>ABASTECIMENTO DE ÁGUA; CAPTAÇÃO E TRATAMENTO DE ÁGUA; DISTRIBUIÇÃO DE ÁGUA</t>
  </si>
  <si>
    <t>EPAL - Empresa Portuguesa das Águas Livres, SA; Sindicato dos Trabalhadores do Setor de Serviços - SITESE; SINDEL - Sindicato Nacional da Indústria e da Energia; Sindicato dos Trabalhadores das Indústrias Transformadoras, Energia e Actividades do Ambiente do Centro Sul e Regiões Autónomas - SITE-CSRA; Sindicato de Quadros e Técnicos - SENSIQ; Sindicato das Indústrias Eléctricas do Sul e Ilhas - SIESI; Sindicato das Indústrias e Afins - SINDEQ; Sindicato da Construção, Obras Públicas e Serviços - SETACCOP; SIEAP - Sindicato das Indústrias Energias Serviços e Águas de Portugal</t>
  </si>
  <si>
    <t>169/2026</t>
  </si>
  <si>
    <t>Acordo de empresa entre a Europ Assistance SA - Sucursal em Portugal e o Sindicato dos Trabalhadores da Actividade Seguradora (STAS) - Alteração salarial e outras.</t>
  </si>
  <si>
    <t>BTE 7, 22/02/2025, pág. 155 (67/2025)</t>
  </si>
  <si>
    <t>AE.20250224.67/2025</t>
  </si>
  <si>
    <t>SEGUROS; SEGUROS NÃO VIDA; REMUNERAÇÕES; TRABALHO POR TURNOS; SUBSÍDIO DE TURNO; SUBSÍDIO DE REFEIÇÃO</t>
  </si>
  <si>
    <t>Europ Assistance S.A. - Sucursal em Portugal; Sindicato dos Trabalhadores da Actividade Seguradora (STAS)</t>
  </si>
  <si>
    <t>170/2026</t>
  </si>
  <si>
    <t>Acordo de empresa entre a Tomaz do Douro - Empreendimentos Turísticos, L.da e a Federação de Sindicatos dos Trabalhadores do Mar - FESMAR - Alteração salarial e outras.</t>
  </si>
  <si>
    <t>BTE 15, 22/04/2025, pág. 113 (186/2025)</t>
  </si>
  <si>
    <t>AE-ALT.20250422.186/2025</t>
  </si>
  <si>
    <t>EXCURSÕES MARÍTIMAS TURÍSTICAS; ATIVIDADES DAS AGÊNCIAS DE VIAGENS; COMÉRCIO A RETALHO EM OUTROS ESTABELECIMENTOS NÃO ESPECIALIZADOS, SEM PREDOMINÂNCIA DE PRODUTOS ALIMENTARES, BEBIDAS OU TABACO; TRANSPORTES DE PASSAGEIROS POR VIAS NAVEGÁVEIS INTERIORES, PARA FINS TURÍSTICOS; HOTÉIS, EXCETO HOTÉIS RURAIS; REMUNERAÇÕES; TRABALHO A TEMPO PARCIAL; SUPLEMENTO DE EMBARQUE; SUBSÍDIO DE REFEIÇÃO; ALIMENTAÇÃO A BORDO; SEGURO DE SAÚDE; SEGURANÇA HIGIENE E SAÚDE NO TRABALHO; CONSUMO DE ÁLCOOL OU DROGAS; REGULAMENTO INTERNO; CATEGORIA PROFISSIONAL; DEFINIÇÃO DE FUNÇÕES</t>
  </si>
  <si>
    <t>Tomaz do Douro - Empreendimentos Turísticos, L.da; Federação de Sindicatos dos Trabalhadores do Mar - FESMAR</t>
  </si>
  <si>
    <t>171/2026</t>
  </si>
  <si>
    <t>Acordo coletivo de trabalho n.º 22/2026 - Acordo coletivo de empregador público entre o Município da Amadora e o Sindicato dos Trabalhadores em Funções Públicas e Sociais do Sul e Regiões Autónomas - STFPSSRA.</t>
  </si>
  <si>
    <t>16</t>
  </si>
  <si>
    <t>Acordo Coletivo de Trabalho n.º 34/2019 - Diário da República n.º 9/2019, Série II de 2019-01-14</t>
  </si>
  <si>
    <t>Município da Amadora; Sindicato dos Trabalhadores em Funções Públicas e Sociais do Sul e Regiões Autónomas - STFPSSRA</t>
  </si>
  <si>
    <t>172/2026</t>
  </si>
  <si>
    <t>Acordo coletivo de trabalho n.º 23/2026 - Acordo coletivo de empregador público entre a Freguesia de Quinchães e o STAL - Sindicato Nacional dos Trabalhadores da Administração Local e Regional, Empresas Públicas, Concessionárias e Afins.</t>
  </si>
  <si>
    <t>Freguesia de Quinchães; STAL - Sindicato Nacional dos Trabalhadores da Administração Local e Regional, Empresas Públicas, Concessionárias e Afins</t>
  </si>
  <si>
    <t>174/2026</t>
  </si>
  <si>
    <t>Portaria de extensão do contrato coletivo entre a Associação Portuguesa de Fabricantes de Papel e Cartão (FAPEL) e o Sindicato das Indústrias e Afins - SINDEQ e outros.</t>
  </si>
  <si>
    <t>BTE 38, 15/10/2025, pág. 8 (434/2025) Portaria n.º 166/2026/1 - Diário da República n.º 74/2026, Série I de 2026-04-16</t>
  </si>
  <si>
    <t>CCT.20251015.434/2025</t>
  </si>
  <si>
    <t>PASTA PAPEL E CARTÃO; FABRICAÇÃO DE PAPEL E DE CARTÃO (EXCETO CANELADO); FABRICAÇÃO DE PAPEL E DE CARTÃO CANELADOS (INCLUI EMBALAGENS); FABRICAÇÃO DE ARTIGOS DE PAPEL PARA USO DOMÉSTICO E SANITÁRIO; FABRICAÇÃO DE ARTIGOS DE PAPEL PARA PAPELARIA; ATIVIDADES DOS AGENTES DO COMÉRCIO POR GROSSO DE OUTROS PRODUTOS</t>
  </si>
  <si>
    <t>175/2026</t>
  </si>
  <si>
    <t>Portaria de extensão das alterações do contrato coletivo entre a Associação Nacional de Revendedores de Energia, Combustíveis, Estações de Serviço, Estacionamentos e Lavagens Automóveis - ANAREC e a FEPCES - Federação Portuguesa dos Sindicatos do Comércio, Escritórios e Serviços e outros.</t>
  </si>
  <si>
    <t>BTE 36, 29/09/2025, pág. 59 (418/2025) Portaria n.º 167/2026/1 - Diário da República n.º 74/2026, Série I de 2026-04-16</t>
  </si>
  <si>
    <t>CCT-ALT.20250929.418/2025</t>
  </si>
  <si>
    <t>REVENDA DE COMBUSTÍVEIS; COMÉRCIO A RETALHO DE COMBUSTÍVEL PARA VEÍCULOS A MOTOR; COMÉRCIO A RETALHO DE COMBUSTÍVEIS PARA USO DOMÉSTICO</t>
  </si>
  <si>
    <t>176/2026</t>
  </si>
  <si>
    <t>Contrato coletivo entre a Associação Nacional das Farmácias - ANF e o SINPROFARM - Sindicato Nacional dos Profissionais de Farmácia - Alteração salarial e outra.</t>
  </si>
  <si>
    <t>BTE 16, 29/04/2025, pág. 105 (198/2025)</t>
  </si>
  <si>
    <t>CCT-ALT.20250429.198/2025</t>
  </si>
  <si>
    <t>Associação Nacional das Farmácias - ANF; SINPROFARM - Sindicato Nacional dos Profissionais de Farmácia</t>
  </si>
  <si>
    <t>177/2026</t>
  </si>
  <si>
    <t>Acordo coletivo entre o Instituto Português de Oncologia de Coimbra Francisco Gentil, EPE e outros e o Sindicato Independente dos Médicos - SIM - Alterações.</t>
  </si>
  <si>
    <t>BTE 21, 08/06/2025, pág. 118 (268/2025)</t>
  </si>
  <si>
    <t>ACT.20250609.268/2025</t>
  </si>
  <si>
    <t>SERVIÇOS DE SAÚDE; ATIVIDADES DOS ESTABELECIMENTOS DE SAÚDE COM INTERNAMENTO; ATIVIDADES DE PRÁTICA CLÍNICA GERAL; ATIVIDADES MÉDICAS ESPECIALIZADAS; AVALIAÇÃO DO DESEMPENHO</t>
  </si>
  <si>
    <t>Instituto Português de Oncologia de Coimbra Francisco Gentil, EPE; Instituto Português de Oncologia de Lisboa Francisco Gentil, EPE; Instituto Português de Oncologia do Porto Francisco Gentil, EPE; Unidade Local de Saúde da Arrábida, EPE; Unidade Local de Saúde da Cova da Beira, EPE; Unidade Local de Saúde da Lezíria, EPE; Unidade Local de Saúde da Guarda, EPE; Unidade Local de Saúde da Região de Aveiro, EPE; Unidade Local de Saúde da Região de Leiria, EPE; Unidade Local de Saúde de Almada-Seixal, EPE; Unidade Local de Saúde de Amadora/Sintra, EPE; Unidade Local de Saúde de Barcelos/Esposende, EPE; Unidade Local de Saúde de Braga, EPE; Unidade Local de Saúde de Castelo Branco, EPE; Unidade Local de Saúde de Coimbra, EPE; Unidade Local de Saúde de Entre o Douro e Vouga, EPE; Unidade Local de Saúde de Gaia/Espinho, EPE; Unidade Local de Saúde de Lisboa Ocidental, EPE; Unidade Local de Saúde de Loures-Odivelas, EPE; Unidade Local de Saúde de Matosinhos, EPE; Unidade Local de Saúde de Santa Maria, EPE; Unidade Local de Saúde de Santo António, EPE; Unidade Local de Saúde de São João, EPE; Unidade Local de Saúde de São José, EPE; Unidade Local de Saúde de Trás-os-Montes e Alto Douro, EPE; Unidade Local de Saúde de Viseu Dão-Lafões, EPE; Unidade Local de Saúde do Alentejo Central, EPE; Unidade Local de Saúde do Algarve, EPE; Unidade Local de Saúde do Alto Alentejo, EPE; Unidade Local de Saúde do Alto Ave, EPE; Unidade Local de Saúde do Alto Minho, EPE; Unidade Local de Saúde do Arco Ribeirinho, EPE; Unidade Local de Saúde do Baixo Alentejo, EPE; Unidade Local de Saúde do Baixo Mondego, EPE; Unidade Local de Saúde do Estuário do Tejo, EPE; Unidade Local de Saúde do Litoral Alentejano, EPE; Unidade Local de Saúde do Médio Ave, EPE; Unidade Local de Saúde do Médio Tejo, EPE; Unidade Local de Saúde do Nordeste, EPE; Unidade Local de Saúde do Oeste, EPE; Unidade Local de Saúde do Tâmega e Sousa, EPE; Unidade Local de Saúde da Póvoa de Varzim/Vila do Conde, EPE; Sindicato Independente dos Médicos - SIM</t>
  </si>
  <si>
    <t>178/2026</t>
  </si>
  <si>
    <t>Acordo de empresa entre a Europ Assistance SA - Sucursal em Portugal e o Sindicato Nacional dos Profissionais de Seguros e Afins - SINAPSA - Alteração salarial e outras.</t>
  </si>
  <si>
    <t>BTE 9, 08/03/2025, pág. 177 (96/2025)</t>
  </si>
  <si>
    <t>AE.20250310.96/2025</t>
  </si>
  <si>
    <t>Europ Assistance SA - Sucursal em Portugal; Sindicato Nacional dos Profissionais de Seguros e Afins - SINAPSA</t>
  </si>
  <si>
    <t>179/2026</t>
  </si>
  <si>
    <t>Acordo de empresa entre a Ponto Seguro - Mediação de Seguros, SA e o Sindicato Nacional dos Profissionais de Seguros e Afins - SINAPSA e outro - Alteração salarial e outras.</t>
  </si>
  <si>
    <t>BTE 31, 22/08/2024, pág. 159 (353/2024) e BTE 10, 15/03/2025, pág. 82 (108/2025)</t>
  </si>
  <si>
    <t>AE-ALT.20250317.108/2025</t>
  </si>
  <si>
    <t>ACTIVIDADES AUXILIARES DE SEGUROS E FUNDOS DE PENSÕES; ATIVIDADES DE MEDIADORES DE SEGUROS; REMUNERAÇÕES; PARENTALIDADE; SUBSÍDIO DE ESTUDO; SUBSÍDIO DE REFEIÇÃO; DESLOCAÇÕES; PENSÃO DE REFORMA</t>
  </si>
  <si>
    <t>Ponto Seguro - Mediação de Seguros, SA; Sindicato Nacional dos Profissionais de Seguros e Afins - SINAPSA; Sindicato dos Trabalhadores da Actividade Seguradora (STAS)</t>
  </si>
  <si>
    <t>183/2026</t>
  </si>
  <si>
    <t>Portaria de extensão das alterações do contrato coletivo entre a Associação das Empresas de Vinho do Porto (AEVP) e o Sindicato Nacional dos Trabalhadores da Indústria e Comércio de Alimentação, Bebidas e Afins.</t>
  </si>
  <si>
    <t>17</t>
  </si>
  <si>
    <t>BTE 43, 22/11/2025, pág. 56 (507/2025) Portaria n.º 196/2026/1 - Diário da República n.º 82/2026, Série I de 2026-04-28</t>
  </si>
  <si>
    <t>CCT-ALT.20251124.507/2025</t>
  </si>
  <si>
    <t>VINHOS E BEBIDAS ESPIRITUOSAS; VITICULTURA; PRODUÇÃO DE VINHOS COMUNS E LICOROSOS; COMÉRCIO POR GROSSO DE BEBIDAS ALCOÓLICAS</t>
  </si>
  <si>
    <t>184/2026</t>
  </si>
  <si>
    <t>Portaria de extensão das alterações do contrato coletivo entre a APQuímica - Associação Portuguesa da Química, Petroquímica e Refinação e outras e a Federação de Sindicatos da Indústria, Energia e Transportes - COFESINT e outros.</t>
  </si>
  <si>
    <t>BTE 47, 22/12/2025, pág. 14 (528/2025) Portaria n.º 200/2026/1 - Diário da República n.º 82/2026, Série I de 2026-04-28</t>
  </si>
  <si>
    <t>CCT-ALT.20251222.528/2025</t>
  </si>
  <si>
    <t>PRODUTOS QUÍMICOS; FABRICAÇÃO DE PRODUTOS QUÍMICOS DE BASE, ADUBOS E COMPOSTOS AZOTADOS, MATÉRIAS PLÁSTICAS E BORRACHA SINTÉTICA, SOB FORMAS PRIMÁRIAS; FABRICAÇÃO DE PESTICIDAS, DESINFETANTES E OUTROS PRODUTOS AGROQUÍMICOS; FABRICAÇÃO DE TINTAS, VERNIZES E PRODUTOS SIMILARES, TINTAS DE IMPRESSÃO E MÁSTIQUES; FABRICAÇÃO DE PRODUTOS PARA LAVAGEM, LIMPEZA E POLIMENTO</t>
  </si>
  <si>
    <t>185/2026</t>
  </si>
  <si>
    <t>Portaria de extensão do contrato coletivo entre a ACAP - Associação Automóvel de Portugal e outras e o SINDEL - Sindicato Nacional da Indústria e da Energia e outro.</t>
  </si>
  <si>
    <t>BTE 5, 08/02/2026, pág. 41 (53/2026) Portaria n.º 199/2026/1 - Diário da República n.º 82/2026, Série I de 2026-04-28</t>
  </si>
  <si>
    <t>CCT.20260209.53/2026</t>
  </si>
  <si>
    <t>186/2026</t>
  </si>
  <si>
    <t>Portaria de extensão do contrato coletivo entre a União de Associações do Comércio e Serviços da Região de Lisboa e Vale do Tejo - UACS e outra e o Sindicato dos Trabalhadores do Setor de Serviços - SITESE.</t>
  </si>
  <si>
    <t>BTE 42, 15/11/2025, pág. 56 (491/2025) Portaria n.º 197/2026/1 - Diário da República n.º 82/2026, Série I de 2026-04-28</t>
  </si>
  <si>
    <t>CCT.20251117.491/2025</t>
  </si>
  <si>
    <t>COMÉRCIO. LISBOA; COMÉRCIO POR GROSSO; COMÉRCIO A RETALHO; ATIVIDADES DE SALÕES DE CABELEIREIRO E BARBEIROS; ATIVIDADES DE CUIDADOS DE BELEZA E OUTRAS ATIVIDADES DE TRATAMENTOS DE BELEZA; ATIVIDADES FUNERÁRIAS E CONEXAS</t>
  </si>
  <si>
    <t>187/2026</t>
  </si>
  <si>
    <t>BTE 4, 29/01/2026, pág. 34 (49/2026) Portaria n.º 198/2026/1 - Diário da República n.º 82/2026, Série I de 2026-04-28</t>
  </si>
  <si>
    <t>CCT-ALT.20260129.49/2026</t>
  </si>
  <si>
    <t>188/2026</t>
  </si>
  <si>
    <t>Portaria de extensão das alterações do contrato coletivo entre a União das Misericórdias Portuguesas - UMP e a FNE - Federação Nacional da Educação e outros.</t>
  </si>
  <si>
    <t>BTE 40, 29/10/2025, pág. 231 (464/2025) Portaria n.º 201/2026/1 - Diário da República n.º 82/2026, Série I de 2026-04-28</t>
  </si>
  <si>
    <t>CCT-ALT.20251029.464/2025</t>
  </si>
  <si>
    <t>INSTITUIÇÕES PARTICULARES DE SOLIDARIEDADE SOCIAL; OUTRAS ATIVIDADES ASSOCIATIVAS, N.E.; ATIVIDADES DE APOIO SOCIAL EM ESTRUTURAS RESIDENCIAIS PARA PESSOAS IDOSAS; ATIVIDADES DE APOIO SOCIAL EM ESTRUTURAS RESIDENCIAIS PARA PESSOAS COM INCAPACIDADE FÍSICA</t>
  </si>
  <si>
    <t>189/2026</t>
  </si>
  <si>
    <t>Portaria de extensão das alterações do contrato coletivo entre a União das Misericórdias Portuguesas - UMP e o Sindicato dos Enfermeiros Portugueses - SEP e outros.</t>
  </si>
  <si>
    <t>BTE 43, 22/11/2025, pág. 60 (508/2025) Portaria n.º 194/2026/1 - Diário da República n.º 82/2026, Série I de 2026-04-28</t>
  </si>
  <si>
    <t>CCT-ALT.20251124.508/2025</t>
  </si>
  <si>
    <t>190/2026</t>
  </si>
  <si>
    <t>Portaria de extensão do acordo de empresa entre o OPART - Organismo de Produção Artística, EPE e o Sindicato dos Trabalhadores de Espectáculos, do Audiovisual e dos Músicos - CENA-STE.</t>
  </si>
  <si>
    <t>BTE 5, 08/02/2024, pág. 354 (56/2024) com retificação BTE 8, 29/02/2024, pág. 413 (105/2024) Portaria n.º 195/2026/1 - Diário da República n.º 82/2026, Série I de 2026-04-28</t>
  </si>
  <si>
    <t>AE.20240208.56/2024; AE-RECT.20240229.105/2024</t>
  </si>
  <si>
    <t>ESPECTÁCULOS; ATIVIDADES DAS ARTES DO ESPETÁCULO; EXPLORAÇÃO DE SALAS E LOCAIS DE ESPETÁCULOS</t>
  </si>
  <si>
    <t>191/2026</t>
  </si>
  <si>
    <t>Contrato coletivo entre a Associação Nacional dos Industriais de Papel e Cartão - ANIPC e a Federação Intersindical das Indústrias Metalúrgicas, Químicas, Eléctricas, Farmacêutica, Celulose, Papel, Gráfica, Imprensa, Energia e Minas - FIEQUIMETAL - Revisão global.</t>
  </si>
  <si>
    <t>Associação Nacional dos Industriais de Papel e Cartão - ANIPC; Federação Intersindical das Indústrias Metalúrgicas, Químicas, Eléctricas, Farmacêutica, Celulose, Papel, Gráfica, Imprensa, Energia e Minas - FIEQUIMETAL</t>
  </si>
  <si>
    <t>192/2026</t>
  </si>
  <si>
    <t>Contrato coletivo entre a União das Mutualidades Portuguesas e a FNE - Federação Nacional da Educação e outros - Alteração salarial e outras.</t>
  </si>
  <si>
    <t>BTE 15, 22/04/2024, pág. 89 (179/2024)</t>
  </si>
  <si>
    <t>CCT-ALT.20250324.118/2025</t>
  </si>
  <si>
    <t>INSTITUIÇÕES PARTICULARES DE SOLIDARIEDADE SOCIAL; REMUNERAÇÕES; REGIME DE PREVENÇÃO; DISPENSA DE SERVIÇO; SUBSÍDIO DE PREVENÇÃO; SUBSÍDIO DE REFEIÇÃO; CLÁUSULA DE SALVAGUARDA</t>
  </si>
  <si>
    <t>União das Mutualidades Portuguesas; FNE - Federação Nacional da Educação; Sindicato dos Técnicos Superiores de Diagnóstico e Terapêutica - SINDITE; Sindicato dos Trabalhadores dos Transportes - SITRA; Sindicato Nacional dos Profissionais da Educação - SINAPE; Sindicato dos Trabalhadores do Setor de Serviços - SITESE; Sindicato Nacional e Democrático dos Professores - SINDEP; Sindicato dos Trabalhadores da Administração Pública e de Entidades com Fins Públicos - SINTAP</t>
  </si>
  <si>
    <t>193/2026</t>
  </si>
  <si>
    <t>Acordo coletivo entre a Mutualista Açoreana de Transportes Marítimos, SA e outra e a Federação de Sindicatos dos Trabalhadores do Mar - FESMAR - Alteração salarial e outras.</t>
  </si>
  <si>
    <t>BTE 22, 15/06/2025, pág. 57 (279/2025)</t>
  </si>
  <si>
    <t>ACT-ALT.20250616.279/2025</t>
  </si>
  <si>
    <t>TRANSPORTES MARÍTIMOS; TRANSPORTES MARÍTIMOS DE MERCADORIAS; REMUNERAÇÕES; SUBSÍDIO DE ALIMENTAÇÃO; SUBSÍDIO DE EMBARQUE; DESLOCAÇÕES; AJUDAS DE CUSTO; SEGURO DE VIAGEM; QUOTIZAÇÃO SINDICAL; ENQUADRAMENTO PROFISSIONAL</t>
  </si>
  <si>
    <t>Mutualista Açoreana de Transportes Marítimos, SA; Navegar - Companhia Portuguesa de Navegação Internacional, SA; Federação de Sindicatos dos Trabalhadores do Mar - FESMAR</t>
  </si>
  <si>
    <t>194/2026</t>
  </si>
  <si>
    <t>Acordo coletivo entre a Douro Azul - Sociedade Marítimo-Turística, SA e outras e a Federação de Sindicatos dos Trabalhadores do Mar - FESMAR - Alteração salarial e outras.</t>
  </si>
  <si>
    <t>BTE 18, 15/05/2024, pág. 295 (213/2024) e BTE 14, 15/04/2025, pág. 282 (169/2025)</t>
  </si>
  <si>
    <t>ACT-ALT.20250415.169/2025</t>
  </si>
  <si>
    <t>EXCURSÕES MARÍTIMAS TURÍSTICAS; ORGANIZAÇÃO DE ATIVIDADES DE ANIMAÇÃO TURÍSTICA; TRANSPORTES DE PASSAGEIROS POR VIAS NAVEGÁVEIS INTERIORES, PARA FINS TURÍSTICOS; ATIVIDADES DE CONSULTORIA PARA OS NEGÓCIOS E OUTRA CONSULTORIA PARA A GESTÃO; ATIVIDADES DOS OPERADORES TURÍSTICOS; REMUNERAÇÕES; PERÍODO NORMAL DE TRABALHO; DESCANSO SEMANAL; FERIADOS; TRABALHO EM DIAS DE DESCANSO SEMANAL E FERIADOS; SUPLEMENTO DE EMBARQUE; SUBSÍDIO DE REFEIÇÃO; ALIMENTAÇÃO A BORDO; CATEGORIA PROFISSIONAL; DEFINIÇÃO DE FUNÇÕES; CARREIRA PROFISSIONAL; PROMOÇÃO PROFISSIONAL</t>
  </si>
  <si>
    <t>Douro Azul - Sociedade Marítimo-Turística, SA; Mystic Golden River Tours, SA; Douro Heritage, SA; Mysticinvest Holding, SA; Douro Legend, SA; Federação de Sindicatos dos Trabalhadores do Mar - FESMAR</t>
  </si>
  <si>
    <t>195/2026</t>
  </si>
  <si>
    <t>Acordo de empresa entre o Sindicato da Banca, Seguros e Tecnologias - MAIS SINDICATO e o Sindicato dos Enfermeiros - SE - Revisão global.</t>
  </si>
  <si>
    <t>AE.20210308.59/2021</t>
  </si>
  <si>
    <t>SERVIÇOS DE SAÚDE; ATIVIDADES DE ORGANIZAÇÕES SINDICAIS</t>
  </si>
  <si>
    <t>Sindicato da Banca, Seguros e Tecnologias - MAIS SINDICATO; Sindicato dos Enfermeiros - SE</t>
  </si>
  <si>
    <t>196/2026</t>
  </si>
  <si>
    <t>Acordo de empresa entre a Nova DS Smith Embalagem, SA e a Federação Intersindical das Indústrias Metalúrgicas, Químicas, Eléctricas, Farmacêutica, Celulose, Papel, Gráfica, Imprensa, Energia e Minas - FIEQUIMETAL e outros - Alteração salarial e outras.</t>
  </si>
  <si>
    <t>BTE 8, 28/02/2019, pág. 646 (53/2019) e BTE 29, 08/08/2024, pág. 148 (333/2024)</t>
  </si>
  <si>
    <t>AE-ALT.20240808.333/2024</t>
  </si>
  <si>
    <t>PASTA PAPEL E CARTÃO; FABRICAÇÃO DE PAPEL E DE CARTÃO CANELADOS (INCLUI EMBALAGENS); REMUNERAÇÕES; SUBSÍDIO DE TURNO; SUBSÍDIO DE ALIMENTAÇÃO</t>
  </si>
  <si>
    <t>Nova DS Smith Embalagem, SA; Federação Intersindical das Indústrias Metalúrgicas, Químicas, Eléctricas, Farmacêutica, Celulose, Papel, Gráfica, Imprensa, Energia e Minas - FIEQUIMETAL; FEPCES - Federação Portuguesa dos Sindicatos do Comércio, Escritórios e Serviços; FESAHT - Federação dos Sindicatos da Agricultura, Alimentação, Bebidas, Hotelaria e Turismo de Portugal; Federação dos Sindicatos de Transportes e Comunicações - FECTRANS; Federação Portuguesa dos Sindicatos da Construção, Cerâmica e Vidro - FEVICCOM; Sindicato dos Fogueiros, Energia e Indústrias Transformadoras - SIFOMATE</t>
  </si>
  <si>
    <t>197/2026</t>
  </si>
  <si>
    <t>Acordo de empresa entre a LUSOSIDER - Aços Planos, SA e a Federação de Sindicatos da Indústria, Energia e Transportes - COFESINT e outros - Alteração salarial e outras.</t>
  </si>
  <si>
    <t>BTE 17, 08/05/2025, pág. 120 (213/2025)</t>
  </si>
  <si>
    <t>AE-ALT.20250508.213/2025</t>
  </si>
  <si>
    <t>METALURGIA; SIDERURGIA E FABRICAÇÃO DE FERRO-LIGAS; REMUNERAÇÕES; SUBSÍDIO DE TURNO; SUBSÍDIO DE REFEIÇÃO; SUBSÍDIO DE TRANSPORTE; ABONO PARA FALHAS; SUBSÍDIO DE COORDENAÇÃO</t>
  </si>
  <si>
    <t>LUSOSIDER - Aços Planos, SA; Federação de Sindicatos da Indústria, Energia e Transportes - COFESINT; FE - Federação dos Engenheiros; SINDEL - Sindicato Nacional da Indústria e da Energia</t>
  </si>
  <si>
    <t>198/2026</t>
  </si>
  <si>
    <t>Acordo de empresa entre a TINITA - Transportes e Reboques Marítimos, SA e o Sindicato da Marinha Mercante, Indústrias e Energia - SITEMAQ - Alteração salarial e outras/texto consolidado.</t>
  </si>
  <si>
    <t>AE-ALT.20250522.246/2025</t>
  </si>
  <si>
    <t>ACTIVIDADES AUXILIARES DOS TRANSPORTES POR ÁGUA; ATIVIDADES AUXILIARES DOS TRANSPORTES POR ÁGUA</t>
  </si>
  <si>
    <t>TINITA - Transportes e Reboques Marítimos, SA; Sindicato da Marinha Mercante, Indústrias e Energia - SITEMAQ</t>
  </si>
  <si>
    <t>199/2026</t>
  </si>
  <si>
    <t>Acordo de empresa entre o CITEFORMA - Centro de Formação Profissional dos Trabalhadores de Escritório, Comércio, Serviços e Novas Tecnologias e o Sindicato dos Trabalhadores do Setor de Serviços - SITESE - Alteração salarial e outra/texto consolidado.</t>
  </si>
  <si>
    <t>AE-ALT.20250515.232/2025</t>
  </si>
  <si>
    <t>FORMAÇÃO PROFISSIONAL</t>
  </si>
  <si>
    <t>CITEFORMA - Centro de Formação Profissional dos Trabalhadores de Escritório, Comércio, Serviços e Novas Tecnologias; Sindicato dos Trabalhadores do Setor de Serviços - SITESE</t>
  </si>
  <si>
    <t>200/2026</t>
  </si>
  <si>
    <t>Acordo de adesão entre a Associação Comercial, Industrial e de Serviços de Bragança - ACISB e outras e o Sindicato dos Trabalhadores do Setor de Serviços - SITESE ao contrato coletivo entre as mesmas associações de empregadores e o Sindicato Independente dos Trabalhadores do comércio, Escritórios, Serviços, Restauração e Bebidas, e outros - SITCES.</t>
  </si>
  <si>
    <t>COMÉRCIO. BRAGANÇA; COMÉRCIO POR GROSSO; COMÉRCIO A RETALHO; ATIVIDADES DE SALÕES DE CABELEIREIRO E BARBEIROS; ATIVIDADES FUNERÁRIAS E CONEXAS</t>
  </si>
  <si>
    <t>Associação Comercial, Industrial e de Serviços de Bragança - ACISB; Associação Comercial e Industrial e de Serviços de Macedo de Cavaleiros (ACISMC); Associação Comercial e Industrial de Mirandela (ACIM); Sindicato dos Trabalhadores do Setor de Serviços - SITESE</t>
  </si>
  <si>
    <t>201/2026</t>
  </si>
  <si>
    <t>Acordo coletivo de trabalho n.º 24/2026 - Acordo coletivo de empregador público entre a Freguesia de Vila Real de Santo António e o STAL - Sindicato Nacional dos Trabalhadores da Administração Local e Regional, Empresas Públicas, Concessionárias e Afins.</t>
  </si>
  <si>
    <t>18</t>
  </si>
  <si>
    <t>Freguesia de Vila Real de Santo António; STAL - Sindicato Nacional dos Trabalhadores da Administração Local e Regional, Empresas Públicas, Concessionárias e Afins</t>
  </si>
  <si>
    <t>202/2026</t>
  </si>
  <si>
    <t>Acordo coletivo de trabalho n.º 25/2026 - Acordo coletivo de empregador público entre o Município de Beja e o STAL - Sindicato Nacional dos Trabalhadores da Administração Local e Regional, Empresas Públicas, Concessionárias e Afins.</t>
  </si>
  <si>
    <t>Acordo Coletivo de Trabalho n.º 11/2020 - Diário da República n.º 195/2020, Série II de 2020-10-07</t>
  </si>
  <si>
    <t>Município de Beja; STAL - Sindicato Nacional dos Trabalhadores da Administração Local e Regional, Empresas Públicas, Concessionárias e Afins</t>
  </si>
  <si>
    <t>203/2026</t>
  </si>
  <si>
    <t>Acordo coletivo de trabalho n.º 26/2026 - Acordo coletivo de empregador público entre a Freguesia de Amareleja e o STAL - Sindicato Nacional dos Trabalhadores da Administração Local e Regional, Empresas Públicas, Concessionárias e Afins.</t>
  </si>
  <si>
    <t>Freguesia de Amareleja; STAL - Sindicato Nacional dos Trabalhadores da Administração Local e Regional, Empresas Públicas, Concessionárias e Afins</t>
  </si>
  <si>
    <t>206/2026</t>
  </si>
  <si>
    <t>Contrato coletivo entre a ANIET - Associação Nacional da Indústria Extrativa e Transformadora e o Sindicato da Construção, Obras Públicas e Serviços - SETACCOP - Alteração salarial e outra.</t>
  </si>
  <si>
    <t>BTE 21, 08/06/2024, pág. 72 (252/2024)</t>
  </si>
  <si>
    <t>CCT.20240611.252/2024</t>
  </si>
  <si>
    <t>MÁRMORES GRANITOS E AFINS; ATIVIDADES DE APOIO A OUTRAS INDÚSTRIAS EXTRATIVAS; EXTRAÇÃO DE MÁRMORE E OUTRAS ROCHAS CARBONATADAS; EXTRAÇÃO DE CALCÁRIO, CRÉ E GESSO; EXTRAÇÃO DE ARDÓSIA; FABRICAÇÃO DE ARTIGOS DE MÁRMORE E DE ROCHAS SIMILARES; REMUNERAÇÕES; SUBSÍDIO DE REFEIÇÃO</t>
  </si>
  <si>
    <t>ANIET - Associação Nacional da Indústria Extrativa e Transformadora; Sindicato da Construção, Obras Públicas e Serviços - SETACCOP</t>
  </si>
  <si>
    <t>207/2026</t>
  </si>
  <si>
    <t>Contrato coletivo entre a ITA - Associação Portuguesa dos Industriais de Tripas e Afins e a FESAHT - Federação dos Sindicatos da Agricultura, Alimentação, Bebidas, Hotelaria e Turismo de Portugal - Alteração salarial e outras.</t>
  </si>
  <si>
    <t>BTE 17, 08/05/2024, pág. 4 (195/2024)</t>
  </si>
  <si>
    <t>CCT-ALT.20250408.139/2025</t>
  </si>
  <si>
    <t>PREPARAÇÃO DE PRODUTOS ALIMENTARES; PROCESSAMENTO E CONSERVAÇÃO DE CARNE, EXCETO CARNE DE AVES; FABRICAÇÃO DE PRODUTOS À BASE DE CARNE; REMUNERAÇÕES; TOLERÂNCIA DE PONTO; SUBSÍDIO DE REFEIÇÃO</t>
  </si>
  <si>
    <t>ITA - Associação Portuguesa dos Industriais de Tripas e Afins; FESAHT - Federação dos Sindicatos da Agricultura, Alimentação, Bebidas, Hotelaria e Turismo de Portugal</t>
  </si>
  <si>
    <t>208/2026</t>
  </si>
  <si>
    <t>Contrato coletivo entre a Associação Nacional de Comerciantes e Industriais de Produtos Alimentares (ANCIPA) e o Sindicato dos Trabalhadores do Setor de Serviços - SITESE (confeitaria e conservação de fruta - administrativos) - Alteração salarial e outras e texto consolidado.</t>
  </si>
  <si>
    <t>Associação Nacional de Comerciantes e Industriais de Produtos Alimentares (ANCIPA); Sindicato dos Trabalhadores do Setor de Serviços - SITESE</t>
  </si>
  <si>
    <t>209/2026</t>
  </si>
  <si>
    <t>Contrato coletivo entre a GROQUIFAR - Associação de Grossistas de Produtos Químicos e Farmacêuticos e o Sindicato dos Trabalhadores do Setor de Serviços - SITESE (produtos farmacêuticos) - Alteração salarial e outras e texto consolidado.</t>
  </si>
  <si>
    <t>GROQUIFAR - Associação de Grossistas de Produtos Químicos e Farmacêuticos; Sindicato dos Trabalhadores do Setor de Serviços - SITESE</t>
  </si>
  <si>
    <t>210/2026</t>
  </si>
  <si>
    <t>Contrato coletivo entre a NORQUIFAR - Associação Nacional dos Importadores/Armazenistas e Retalhistas de Produtos Químicos e Farmacêuticos e o Sindicato das Indústrias e Afins - SINDEQ (produtos farmacêuticos) - Alteração salarial e outras.</t>
  </si>
  <si>
    <t>BTE 16, 29/04/2024, pág. 72 (188/2024)</t>
  </si>
  <si>
    <t>CCT-ALT.20250429.195/2025</t>
  </si>
  <si>
    <t>PRODUTOS FARMACÊUTICOS; COMÉRCIO POR GROSSO DE PRODUTOS FARMACÊUTICOS E MÉDICOS; REMUNERAÇÕES; TRABALHO SUPLEMENTAR; DESLOCAÇÕES; DIUTURNIDADES; ABONO PARA FALHAS; SUBSÍDIO DE REFEIÇÃO; AJUDAS DE CUSTO</t>
  </si>
  <si>
    <t>NORQUIFAR - Associação Nacional dos Importadores/Armazenistas e Retalhistas de Produtos Químicos e Farmacêuticos; Sindicato das Indústrias e Afins - SINDEQ</t>
  </si>
  <si>
    <t>211/2026</t>
  </si>
  <si>
    <t>Contrato coletivo entre a NORQUIFAR - Associação Nacional dos Importadores/Armazenistas e Retalhistas de Produtos Químicos e Farmacêuticos e o Sindicato das Indústrias e Afins - SINDEQ (produtos químicos) - Alteração salarial e outras.</t>
  </si>
  <si>
    <t>BTE 16, 29/04/2024, pág. 45 (187/2024) e BTE 16, 29/04/2025, pág. 79 (196/2025)</t>
  </si>
  <si>
    <t>CCT-ALT.20250429.196/2025</t>
  </si>
  <si>
    <t>PRODUTOS QUÍMICOS; COMÉRCIO POR GROSSO DE PRODUTOS QUÍMICOS; REMUNERAÇÕES; AJUDAS DE CUSTO; SUBSÍDIO DE RISCO; COMPLEMENTO DO SEGURO DE ACIDENTES DE TRABALHO; SEGURO POR MORTE OU INCAPACIDADE DO TRABALHADOR</t>
  </si>
  <si>
    <t>212/2026</t>
  </si>
  <si>
    <t>Contrato coletivo entre a ACIFF - Associação Comercial e Industrial da Figueira da Foz - Associação Empresarial Regional e o CESP - Sindicato dos Trabalhadores do Comércio, Escritórios e Serviços de Portugal - Alteração salarial e outras.</t>
  </si>
  <si>
    <t>BTE 20, 29/05/2025, pág. 4 (248/2025)</t>
  </si>
  <si>
    <t>COMÉRCIO. COIMBRA; COMÉRCIO A RETALHO; REMUNERAÇÕES; RETRIBUIÇÃO VARIÁVEL; AJUDAS DE CUSTO; ABONO PARA FALHAS; SUBSÍDIO DE ALIMENTAÇÃO; TRABALHO AO SÁBADO; DIUTURNIDADES; DESLOCAÇÕES; SUBSÍDIO DE CHEFIA; ALIMENTAÇÃO; CATEGORIA PROFISSIONAL; DEFINIÇÃO DE FUNÇÕES; ENQUADRAMENTO SALARIAL</t>
  </si>
  <si>
    <t>ACIFF - Associação Comercial e Industrial da Figueira da Foz - Associação Empresarial Regional; CESP - Sindicato dos Trabalhadores do Comércio, Escritórios e Serviços de Portugal</t>
  </si>
  <si>
    <t>213/2026</t>
  </si>
  <si>
    <t>Contrato coletivo entre a RENA - Associação das Companhias Aéreas em Portugal e o Sindicato dos Trabalhadores da Aviação e Aeroportos - SITAVA e outro - Alteração salarial e outras e texto consolidado.</t>
  </si>
  <si>
    <t>RENA - Associação das Companhias Aéreas em Portugal; Sindicato dos Trabalhadores da Aviação e Aeroportos - SITAVA; Sindicato dos Quadros da Aviação Comercial - SQAC</t>
  </si>
  <si>
    <t>214/2026</t>
  </si>
  <si>
    <t>Acordo de empresa entre a Casbuscais, L.da e o Sindicato dos Trabalhadores dos Transportes - SITRA.</t>
  </si>
  <si>
    <t>TRANSPORTES TERRESTRES; TRANSPORTE REGULAR INTERURBANO EM AUTOCARROS; TRANSPORTE RODOVIÁRIO REGULAR, URBANO E SUBURBANO DE PASSAGEIROS</t>
  </si>
  <si>
    <t>Casbuscais, L.da; Sindicato dos Trabalhadores dos Transportes - SITRA</t>
  </si>
  <si>
    <t>215/2026</t>
  </si>
  <si>
    <t>Acordo de empresa entre a Petrogal, SA e a Federação de Sindicatos da Indústria, Energia e Transportes - COFESINT e outros - Alteração salarial e outras.</t>
  </si>
  <si>
    <t>BTE 25, 08/07/2024, pág. 250 (294/2024) e BTE 22, 15/06/2025, pág. 80 (280/2025)</t>
  </si>
  <si>
    <t>AE-ALT.20250616.280/2025</t>
  </si>
  <si>
    <t>PETRÓLEO; FABRICAÇÃO DE PRODUTOS PETROLÍFEROS REFINADOS; REMUNERAÇÕES; COMPLEMENTO DA PENSÃO DE REFORMA; SUBSÍDIO DE INFANTÁRIO; SUBSÍDIO DE ALIMENTAÇÃO; ENQUADRAMENTO SALARIAL</t>
  </si>
  <si>
    <t>Petrogal, SA; Federação de Sindicatos da Indústria, Energia e Transportes - COFESINT; FE - Federação dos Engenheiros; Sindicato das Indústrias e Afins - SINDEQ; Sindicato da Energia - SINERGIA</t>
  </si>
  <si>
    <t>216/2026</t>
  </si>
  <si>
    <t>Acordo de empresa entre a Petrogal, SA e o Sindicato dos Trabalhadores do Setor de Serviços - SITESE e outros - Alteração salarial e outras.</t>
  </si>
  <si>
    <t>BTE 25, 08/07/2024, pág. 291 (295/2024) e BTE 22, 15/06/2025, pág. 85 (281/2025)</t>
  </si>
  <si>
    <t>AE-ALT.20250616.281/2025</t>
  </si>
  <si>
    <t>Petrogal, SA; Sindicato dos Trabalhadores do Setor de Serviços - SITESE; SINDEL - Sindicato Nacional da Indústria e da Energia; Sindicato dos Oficiais e Engenheiros Maquinistas da Marinha Mercante (SOEMMM)</t>
  </si>
  <si>
    <t>217/2026</t>
  </si>
  <si>
    <t>Acordo de empresa entre a Carl Zeiss Vision Portugal, SA e a Federação Portuguesa dos Sindicatos da Construção, Cerâmica e Vidro - FEVICCOM - Alteração salarial e outra.</t>
  </si>
  <si>
    <t>BTE 30, 15/08/2024, pág. 239 (344/2024)</t>
  </si>
  <si>
    <t>AE.20240816.344/2024</t>
  </si>
  <si>
    <t>ÓPTICA; FABRICAÇÃO DE MATERIAL ÓTICO OFTÁLMICO; REMUNERAÇÕES; SUBSÍDIO DE REFEIÇÃO</t>
  </si>
  <si>
    <t>Carl Zeiss Vision Portugal, SA; Federação Portuguesa dos Sindicatos da Construção, Cerâmica e Vidro - FEVICCOM</t>
  </si>
  <si>
    <t>218/2026</t>
  </si>
  <si>
    <t>Acordo de empresa entre a Metro - Mondego, SA e o STRUP - Sindicato dos Trabalhadores de Transportes Rodoviários e Urbanos de Portugal - Alteração salarial/texto consolidado.</t>
  </si>
  <si>
    <t>AE-ALT.20251215.523/2025</t>
  </si>
  <si>
    <t>TRANSPORTES TERRESTRES; OUTRAS ATIVIDADES AUXILIARES DOS TRANSPORTES TERRESTRES; TRANSPORTE RODOVIÁRIO REGULAR, URBANO E SUBURBANO DE PASSAGEIROS</t>
  </si>
  <si>
    <t>Metro - Mondego, SA; STRUP - Sindicato dos Trabalhadores de Transportes Rodoviários e Urbanos de Portugal</t>
  </si>
  <si>
    <t>219/2026</t>
  </si>
  <si>
    <t>Acordo de empresa entre a Manos do Douro - Organização de Passeios Marítimo Turísticos, Unipessoal L.da e a Federação de Sindicatos dos Trabalhadores do Mar - FESMAR - Alteração salarial e outras/texto consolidado.</t>
  </si>
  <si>
    <t>AE-ALT.20250529.254/2025</t>
  </si>
  <si>
    <t>TRANSPORTES MARÍTIMOS; ATIVIDADES DOS OPERADORES TURÍSTICOS</t>
  </si>
  <si>
    <t>Manos do Douro - Organização de Passeios Marítimo Turísticos, Unipessoal L.da; Federação de Sindicatos dos Trabalhadores do Mar - FESMAR</t>
  </si>
  <si>
    <t>220/2026</t>
  </si>
  <si>
    <t>Acordo de empresa entre a Transportes Aéreos Portugueses, SA e o Sindicato dos Trabalhadores da Aviação e Aeroportos - SITAVA e outro - Retificação.</t>
  </si>
  <si>
    <t>AE-ALT-RECT</t>
  </si>
  <si>
    <t>BTE 13, 08/04/2026, pág. 54 (136/2026)</t>
  </si>
  <si>
    <t>AE-ALT.20260408.136/2026</t>
  </si>
  <si>
    <t>TRANSPORTES AÉREOS; TRANSPORTES AÉREOS DE PASSAGEIROS; TRANSPORTES AÉREOS DE MERCADORIAS; REPARAÇÃO E MANUTENÇÃO DE AERONAVES E DE VEÍCULOS ESPACIAIS CIVIS</t>
  </si>
  <si>
    <t>222/2026</t>
  </si>
  <si>
    <t>Portaria de extensão das alterações do contrato coletivo entre a Confederação Nacional das Instituições de Solidariedade - CNIS e a FEPCES - Federação Portuguesa dos Sindicatos do Comércio, Escritórios e Serviços e outros.</t>
  </si>
  <si>
    <t>19</t>
  </si>
  <si>
    <t>BTE 33, 08/09/2025, pág. 50 (396/2025) Portaria n.º 212/2026/1 - Diário da República n.º 89/2026, Série I de 2026-05-08</t>
  </si>
  <si>
    <t>223/2026</t>
  </si>
  <si>
    <t>Portaria de extensão do contrato coletivo entre a Associação Nacional de Centros de Inspecção Automóvel (ANCIA) e o Sindicato da Construção, Obras Públicas e Serviços - SETACCOP e outro.</t>
  </si>
  <si>
    <t>BTE 31, 22/08/2025, pág. 22 (374/2025) Portaria n.º 210/2026/1 - Diário da República n.º 88/2026, Série I de 2026-05-07</t>
  </si>
  <si>
    <t>CCT.20250822.374/2025</t>
  </si>
  <si>
    <t>AUTOMÓVEIS E ACESSÓRIOS; ATIVIDADES DE ENSAIOS E ANÁLISES TÉCNICAS</t>
  </si>
  <si>
    <t>224/2026</t>
  </si>
  <si>
    <t>Portaria de extensão do contrato coletivo entre a Associação Portuguesa de Hospitalização Privada - APHP e o Sindicato dos Trabalhadores do Setor de Serviços - SITESE e outro.</t>
  </si>
  <si>
    <t>BTE 25, 08/07/2025, pág. 49 (316/2025) Portaria n.º 211/2026/1 - Diário da República n.º 88/2026, Série I de 2026-05-07</t>
  </si>
  <si>
    <t>CCT.20250708.316/2025</t>
  </si>
  <si>
    <t>SERVIÇOS DE SAÚDE; ATIVIDADES DOS ESTABELECIMENTOS DE SAÚDE COM INTERNAMENTO; ATIVIDADES DE PRÁTICA CLÍNICA GERAL; ATIVIDADES MÉDICAS ESPECIALIZADAS; ATIVIDADES DE ENFERMAGEM E DE PARTEIRAS</t>
  </si>
  <si>
    <t>225/2026</t>
  </si>
  <si>
    <t>Contrato coletivo entre a ACIRO - Associação Comercial, Industrial e Serviços da Região Oeste e o Sindicato dos Trabalhadores do Setor de Serviços - SITESE - Alteração salarial e outra.</t>
  </si>
  <si>
    <t>BTE 26, 15/07/2024, pág. 4 (299/2024)</t>
  </si>
  <si>
    <t>CCT-ALT.20250508.210/2025</t>
  </si>
  <si>
    <t>COMÉRCIO. LISBOA; COMÉRCIO POR GROSSO; COMÉRCIO A RETALHO; REPARAÇÃO E MANUTENÇÃO DE BENS DE USO PESSOAL E DOMÉSTICO; REMUNERAÇÕES; SUBSÍDIO DE REFEIÇÃO</t>
  </si>
  <si>
    <t>ACIRO - Associação Comercial, Industrial e Serviços da Região Oeste; Sindicato dos Trabalhadores do Setor de Serviços - SITESE</t>
  </si>
  <si>
    <t>226/2026</t>
  </si>
  <si>
    <t>Acordo coletivo entre a SADOPORT - Terminal Marítimo do Sado, SA e outras e o Sindicato Nacional dos Estivadores, Trabalhadores do Tráfego, Conferentes Marítimos e Outros.</t>
  </si>
  <si>
    <t>TRABALHO PORTUÁRIO; MANUSEAMENTO DE CARGA; ATIVIDADES DAS EMPRESAS DE TRABALHO TEMPORÁRIO; ATIVIDADES DAS EMPRESAS DE SELEÇÃO E COLOCAÇÃO DE PESSOAL</t>
  </si>
  <si>
    <t>SADOPORT - Terminal Marítimo do Sado, SA; NAVIPOR - Operadora Portuária Geral, L.da; OPERESTIVA - Empresa de Trabalho Portuário de Setúbal, L.da; Sindicato Nacional dos Estivadores, Trabalhadores do Tráfego, Conferentes Marítimos e Outros</t>
  </si>
  <si>
    <t>227/2026</t>
  </si>
  <si>
    <t>Acordo coletivo entre a Zurich Insurance Europe AG - Sucursal em Portugal e outra e o Sindicato dos Trabalhadores da Actividade Seguradora (STAS) - Alteração salarial e outras.</t>
  </si>
  <si>
    <t>BTE 24, 29/06/2025, pág. 140 (309/2025)</t>
  </si>
  <si>
    <t>ACT-ALT.20250630.309/2025</t>
  </si>
  <si>
    <t>SEGUROS; SEGUROS DE VIDA, EXCETO OUTRAS ATIVIDADES COMPLEMENTARES DE SEGURANÇA SOCIAL; SEGUROS NÃO VIDA; REMUNERAÇÕES; TELETRABALHO; SUBSÍDIO INFANTIL; SUBSÍDIO ESCOLAR; SUBSÍDIO DE REFEIÇÃO; DESLOCAÇÕES</t>
  </si>
  <si>
    <t>Zurich Insurance Europe AG - Sucursal em Portugal; Zurich - Companhia de Seguros Vida, SA; Sindicato dos Trabalhadores da Actividade Seguradora (STAS)</t>
  </si>
  <si>
    <t>228/2026</t>
  </si>
  <si>
    <t>Acordo de empresa entre a EMARP - Empresa Municipal de Águas e Resíduos de Portimão, EM, SA e o STAL - Sindicato Nacional dos Trabalhadores da Administração Local e Regional, Empresas Públicas, Concessionárias e Afins - Revisão global.</t>
  </si>
  <si>
    <t>AE.20250129.31/2025</t>
  </si>
  <si>
    <t>EMARP - Empresa Municipal de Águas e Resíduos de Portimão, EM, SA; STAL - Sindicato Nacional dos Trabalhadores da Administração Local e Regional, Empresas Públicas, Concessionárias e Afins</t>
  </si>
  <si>
    <t>229/2026</t>
  </si>
  <si>
    <t>Acordo coletivo de trabalho n.º 27/2026 - Acordo coletivo de empregador público entre a Freguesia de Atei e o STAL - Sindicato Nacional dos Trabalhadores da Administração Local e Regional, Empresas Públicas, Concessionárias e Afins.</t>
  </si>
  <si>
    <t>20</t>
  </si>
  <si>
    <t>Freguesia de Atei; STAL - Sindicato Nacional dos Trabalhadores da Administração Local e Regional, Empresas Públicas, Concessionárias e Afins</t>
  </si>
  <si>
    <t>230/2026</t>
  </si>
  <si>
    <t>Contrato coletivo entre a Associação Nacional dos Industriais de Lacticínios (ANIL) e outras e o Sindicato dos Profissionais de Lacticínios, Alimentação, Agricultura, Escritórios, Comércio, Serviços, Transportes Rodoviários, Metalomecânica, Metalurgia, Construção Civil e Madeiras - Alteração salarial e outra.</t>
  </si>
  <si>
    <t>BTE 32, 29/08/2024, pág. 141 (373/2024)</t>
  </si>
  <si>
    <t>CCT-ALT.20250408.140/2025</t>
  </si>
  <si>
    <t>LACTICÍNIOS; INDÚSTRIA DE LATICÍNIOS; REMUNERAÇÕES; SUBSÍDIO DE ALIMENTAÇÃO</t>
  </si>
  <si>
    <t>Associação Nacional dos Industriais de Lacticínios (ANIL); AGROS - União das Cooperativas de Produtores de Leite de Entre Douro e Minho e Trás-os-Montes, UCRL; PROLEITE - Cooperativa Agrícola de Produtores de Leite, CRL; Sindicato dos Profissionais de Lacticínios, Alimentação, Agricultura, Escritórios, Comércio, Serviços, Transportes Rodoviários, Metalomecânica, Metalurgia, Construção Civil e Madeiras</t>
  </si>
  <si>
    <t>231/2026</t>
  </si>
  <si>
    <t>Acordo de empresa entre a Prysmian Celcat, SA e o Sindicato das Indústrias Eléctricas do Sul e Ilhas - SIESI - Alteração salarial e outras/texto consolidado.</t>
  </si>
  <si>
    <t>AE-ALT.20181210.373/2018</t>
  </si>
  <si>
    <t>CABOS ELÉCTRICOS; FABRICAÇÃO DE OUTROS FIOS E CABOS ELÉTRICOS E ELETRÓNICOS</t>
  </si>
  <si>
    <t>Prysmian Celcat, SA (ex General Cable Celcat, Energia e Telecomunicações, SA); Sindicato das Indústrias Eléctricas do Sul e Ilhas - SIESI</t>
  </si>
  <si>
    <t>232/2026</t>
  </si>
  <si>
    <t>Acordo de empresa entre a Portway - Handling de Portugal, SA e o Sindicato Democrático dos Trabalhadores dos Aeroportos e Aviação - SINDAV e outros - Alteração salarial e outra.</t>
  </si>
  <si>
    <t>BTE 12, 29/03/2024, pág. 250 (148/2024)</t>
  </si>
  <si>
    <t>TRANSPORTES AÉREOS; ATIVIDADES AUXILIARES DOS TRANSPORTES AÉREOS; REMUNERAÇÕES; SUBSÍDIO DE REFEIÇÃO</t>
  </si>
  <si>
    <t>Portway - Handling de Portugal, SA; Sindicato Democrático dos Trabalhadores dos Aeroportos e Aviação - SINDAV; Sindicato dos Trabalhadores da Aviação e Aeroportos - SITAVA; STHAA - Sindicato dos Trabalhadores de Handling, da Aviação e Aeroportos</t>
  </si>
  <si>
    <t>233/2026</t>
  </si>
  <si>
    <t>Acordo de empresa entre os CTT - Correios de Portugal, SA e o SINDETELCO - Sindicato Democrático dos Trabalhadores dos Correios, Telecomunicações, Media e Serviços e outros - Alteração salarial e outra e texto consolidado.</t>
  </si>
  <si>
    <t>AE-ALT.20250324.123/2025</t>
  </si>
  <si>
    <t>TELECOMUNICAÇÕES; ATIVIDADES POSTAIS SUJEITAS A OBRIGAÇÕES DE SERVIÇO UNIVERSAL</t>
  </si>
  <si>
    <t>CTT - Correios de Portugal, SA; Sindicato Nacional dos Trabalhadores dos Correios e Telecomunicações (SNTCT); SINDETELCO - Sindicato Democrático dos Trabalhadores dos Correios, Telecomunicações, Media e Serviços; Sindicato Independente dos Trabalhadores da Informação e Comunicações - SITIC; Sindicato Independente dos Correios de Portugal - SINCOR; Sindicato de Quadros das Comunicações (SINQUADROS); SICTTEXPT - Sindicato Independente dos Correios, Telecomunicações, Transportes e Expresso de Portugal; FENTCOP - Sindicato Nacional dos Transportes, Comunicações e Obras Públicas; SICOMP - Sindicato das Comunicações de Portugal;  Sindicato Nacional dos Trabalhadores das Telecomunicações e Audiovisual - SINTTAV; SERS - Sindicato dos Engenheiros; Sindicato Nacional dos Engenheiros, Engenheiros Técnicos e Arquitectos (SNEET)</t>
  </si>
  <si>
    <t>234/2026</t>
  </si>
  <si>
    <t>Acordo de adesão entre a Associação Portuguesa de Empresas de Distribuição - APED e o Sindicato Independente dos Trabalhadores do Comércio, Escritórios, Serviços, Restauração e Bebidas, e outros - SITCES ao contrato coletivo entre a mesma associação de empregadores e o Sindicato dos Trabalhadores do Setor de Serviços - SITESE.</t>
  </si>
  <si>
    <t>BTE 15, 22/04/2026, pág. 147 (165/2026)</t>
  </si>
  <si>
    <t>CCT-ALT.20260422.165/2026</t>
  </si>
  <si>
    <t>Associação Portuguesa de Empresas de Distribuição - APED; Sindicato Independente dos Trabalhadores do Comércio, Escritórios, Serviços, Restauração e Bebidas, e outros - SITCES</t>
  </si>
  <si>
    <t>235/2026</t>
  </si>
  <si>
    <t>Acordo coletivo de trabalho n.º 28/2026 - Acordo coletivo de empregador público entre a Freguesia de Sé e São Lourenço e o STAL - Sindicato Nacional dos Trabalhadores da Administração Local e Regional, Empresas Públicas, Concessionárias e Afins.</t>
  </si>
  <si>
    <t>21</t>
  </si>
  <si>
    <t>Acordo Coletivo de Trabalho n.º 40/2022 - Diário da República n.º 204/2022, Série II de 2022-10-21</t>
  </si>
  <si>
    <t>Freguesia de Sé e São Lourenço; STAL - Sindicato Nacional dos Trabalhadores da Administração Local e Regional, Empresas Públicas, Concessionárias e Afins</t>
  </si>
  <si>
    <t>238/2026</t>
  </si>
  <si>
    <t>Contrato coletivo entre a ANIECA - Associação Nacional de Escolas de Condução Automóvel e a Federação dos Sindicatos de Transportes e Comunicações - FECTRANS - Revisão global.</t>
  </si>
  <si>
    <t>ANIECA - Associação Nacional de Escolas de Condução Automóvel; Federação dos Sindicatos de Transportes e Comunicações - FECTRANS</t>
  </si>
  <si>
    <t>239/2026</t>
  </si>
  <si>
    <t>Contrato coletivo entre a Confederação Nacional das Instituições de Solidariedade - CNIS e a Federação Nacional dos Sindicatos dos Trabalhadores em Funções Públicas e Sociais - FNSTFPS - Alteração salarial e outras.</t>
  </si>
  <si>
    <t>BTE 39, 22/10/2025, pág. 11 (442/2025)</t>
  </si>
  <si>
    <t>INSTITUIÇÕES PARTICULARES DE SOLIDARIEDADE SOCIAL; REMUNERAÇÕES; TRABALHO AO DOMINGO; DESCANSO SEMANAL; FÉRIAS; DISPENSA DE SERVIÇO; ABONO PARA FALHAS; SUBSÍDIO DE REFEIÇÃO; CONDIÇÕES DE ADMISSÃO; CARREIRA PROFISSIONAL; CATEGORIA PROFISSIONAL; ENQUADRAMENTO PROFISSIONAL</t>
  </si>
  <si>
    <t>Confederação Nacional das Instituições de Solidariedade - CNIS; Federação Nacional dos Sindicatos dos Trabalhadores em Funções Públicas e Sociais - FNSTFPS</t>
  </si>
  <si>
    <t>240/2026</t>
  </si>
  <si>
    <t>Contrato coletivo entre a Associação Nacional dos Industriais de Papel e Cartão - ANIPC e o Sindicato dos Trabalhadores do Setor de Serviços - SITESE - Alteração salarial e outra.</t>
  </si>
  <si>
    <t>BTE 24, 29/06/2025, pág. 41 (303/2025)</t>
  </si>
  <si>
    <t>CCT.20250630.303/2025</t>
  </si>
  <si>
    <t>PASTA PAPEL E CARTÃO; FABRICAÇÃO DE PAPEL E DE CARTÃO (EXCETO CANELADO); FABRICAÇÃO DE PAPEL E DE CARTÃO CANELADOS (INCLUI EMBALAGENS); RECOLHA DE RESÍDUOS INERTES; COMÉRCIO POR GROSSO DE DESPERDÍCIOS TÊXTEIS, DE CARTÃO E PAPÉIS VELHOS; REMUNERAÇÕES; SUBSÍDIO DE ALIMENTAÇÃO</t>
  </si>
  <si>
    <t>Associação Nacional dos Industriais de Papel e Cartão - ANIPC; Sindicato dos Trabalhadores do Setor de Serviços - SITESE</t>
  </si>
  <si>
    <t>241/2026</t>
  </si>
  <si>
    <t>Acordo coletivo entre a Zurich Insurance Europe AG - Sucursal em Portugal e outra e o Sindicato Nacional dos Profissionais de Seguros e Afins - SINAPSA - Alteração salarial e outras.</t>
  </si>
  <si>
    <t>BTE 23, 22/06/2025, pág. 106 (296/2025)</t>
  </si>
  <si>
    <t>ACT-ALT.20250623.296/2025</t>
  </si>
  <si>
    <t>Zurich Insurance Europe AG - Sucursal em Portugal; Zurich - Companhia de Seguros Vida, SA; Sindicato Nacional dos Profissionais de Seguros e Afins - SINAPSA</t>
  </si>
  <si>
    <t>242/2026</t>
  </si>
  <si>
    <t>Acordo de empresa entre o Futebol Clube do Porto e o CESP - Sindicato dos Trabalhadores do Comércio, Escritórios e Serviços de Portugal e outros - Revisão global.</t>
  </si>
  <si>
    <t>AE-ALT.20231129.497/2023</t>
  </si>
  <si>
    <t>DESPORTOS; ATIVIDADES DOS CLUBES DESPORTIVOS</t>
  </si>
  <si>
    <t>Futebol Clube do Porto; CESP - Sindicato dos Trabalhadores do Comércio, Escritórios e Serviços de Portugal; Sindicato dos Trabalhadores de Transportes Rodoviários e Urbanos do Norte (STRUN); Sindicato dos Fogueiros, Energia e Indústrias Transformadoras - SIFOMATE</t>
  </si>
  <si>
    <t>243/2026</t>
  </si>
  <si>
    <t>Acordo de empresa entre a REBONAVE - Reboques e Assistência Naval, SA e o Sindicato dos Transportes Fluviais, Costeiros e da Marinha Mercante e outro - Alteração salarial e outras.</t>
  </si>
  <si>
    <t>BTE 6, 15/02/2025, pág. 77 (59/2025) com retificação BTE 11, 22/03/2025, pág. 225 (126/2025)</t>
  </si>
  <si>
    <t>AE-ALT.20250609.271/2025</t>
  </si>
  <si>
    <t>ACTIVIDADES AUXILIARES DOS TRANSPORTES POR ÁGUA; ATIVIDADES AUXILIARES DOS TRANSPORTES POR ÁGUA; REMUNERAÇÕES; SUBSÍDIO DE REFEIÇÃO; SUBSÍDIO DE DISPONIBILIDADE; SUPLEMENTO DE EMBARQUE; SEGURO DE VIAGEM; RETRIBUIÇÃO DO TRABALHO SUPLEMENTAR; SUBSÍDIO DE TRANSPORTE</t>
  </si>
  <si>
    <t>REBONAVE - Reboques e Assistência Naval, SA; Sindicato dos Transportes Fluviais, Costeiros e da Marinha Mercante; Sindicato da Marinha Mercante, Indústrias e Energia - SITEMAQ</t>
  </si>
  <si>
    <t>244/2026</t>
  </si>
  <si>
    <t>Acordo coletivo de trabalho n.º 29/2026 - Acordo coletivo de empregador público entre a Comunidade Intermunicipal do Médio Tejo e o STAL - Sindicato Nacional dos Trabalhadores da Administração Local e Regional, Empresas Públicas, Concessionárias e Afins.</t>
  </si>
  <si>
    <t>22</t>
  </si>
  <si>
    <t>Revoga o artigo 27.º do Regulamento n.º 61/2021 - Diário da República n.º 11/2021, Série II de 2021-01-18; Acordo Coletivo de Trabalho n.º 61/2015 - Diário da República n.º 184/2015, Série II de 2015-09-21</t>
  </si>
  <si>
    <t>Comunidade Intermunicipal do Médio Tejo; STAL - Sindicato Nacional dos Trabalhadores da Administração Local e Regional, Empresas Públicas, Concessionárias e Afins</t>
  </si>
  <si>
    <t>245/2026</t>
  </si>
  <si>
    <t>Acordo coletivo de trabalho n.º 30/2026 - Acordo coletivo de empregador público entre a Freguesia de Conceição e o Sindicato dos Trabalhadores da Administração Pública e de Entidades com Fins Públicos - SINTAP.</t>
  </si>
  <si>
    <t>Freguesia de Conceição; Sindicato dos Trabalhadores da Administração Pública e de Entidades com Fins Públicos - SINTAP</t>
  </si>
  <si>
    <t>246/2026</t>
  </si>
  <si>
    <t>Acordo coletivo de trabalho n.º 31/2026 - Acordo coletivo de empregador público entre a Freguesia de Ponte de Sor e o STAL - Sindicato Nacional dos Trabalhadores da Administração Local e Regional, Empresas Públicas, Concessionárias e Afins.</t>
  </si>
  <si>
    <t>Freguesia de Ponte de Sor; STAL - Sindicato Nacional dos Trabalhadores da Administração Local e Regional, Empresas Públicas, Concessionárias e Afins</t>
  </si>
  <si>
    <t>247/2026</t>
  </si>
  <si>
    <t>Contrato coletivo entre a Associação Empresarial do Alto Tâmega - ACISAT e o Sindicato Independente dos Trabalhadores do Comércio, Escritórios, Serviços, Restauração e Bebidas, e outros - SITCES.</t>
  </si>
  <si>
    <t>COMÉRCIO. VILA REAL; COMÉRCIO A RETALHO; ATIVIDADES DE SALÕES DE CABELEIREIRO E BARBEIROS; ATIVIDADES FUNERÁRIAS E CONEXAS</t>
  </si>
  <si>
    <t>Associação Empresarial do Alto Tâmega - ACISAT; Sindicato Independente dos Trabalhadores do Comércio, Escritórios, Serviços, Restauração e Bebidas, e outros - SITCES</t>
  </si>
  <si>
    <t>248/2026</t>
  </si>
  <si>
    <t>Contrato coletivo entre a Associação Nacional das Farmácias - ANF e o SINPROFARM - Sindicato Nacional dos Profissionais de Farmácia (quadro farmacêutico).</t>
  </si>
  <si>
    <t>FARMÁCIAS; COMÉRCIO A RETALHO DE PRODUTOS FARMACÊUTICOS</t>
  </si>
  <si>
    <t>249/2026</t>
  </si>
  <si>
    <t>Contrato coletivo entre a Associação Portuguesa dos Industriais de Calçado, Componentes e Artigos de Pele e Seus Sucedâneos - APICCAPS e a Federação dos Sindicatos dos Trabalhadores Têxteis, Lanifícios, Vestuário, Calçado e Peles de Portugal - FESETE - Alteração salarial e outra.</t>
  </si>
  <si>
    <t>CALÇADO MALAS E AFINS; FABRICAÇÃO DE ARTIGOS DE VIAGEM, MARROQUINARIA, ARREIOS E SELAS DE QUALQUER MATERIAL; FABRICAÇÃO DE CALÇADO; FABRICAÇÃO DE COMPONENTES PARA CALÇADO; COMÉRCIO POR GROSSO DE CALÇADO; REMUNERAÇÕES; SUBSÍDIO DE ALIMENTAÇÃO</t>
  </si>
  <si>
    <t>Associação Portuguesa dos Industriais de Calçado, Componentes e Artigos de Pele e Seus Sucedâneos - APICCAPS; Federação dos Sindicatos dos Trabalhadores Têxteis, Lanifícios, Vestuário, Calçado e Peles de Portugal - FESETE</t>
  </si>
  <si>
    <t>250/2026</t>
  </si>
  <si>
    <t>Contrato coletivo entre a Associação dos Industriais Metalúrgicos, Metalomecânicos e Afins de Portugal - AIMMAP e o Sindicato das Indústrias Metalúrgicas e Afins - SIMA - Alteração salarial e outra.</t>
  </si>
  <si>
    <t>BTE 31, 22/08/2024, pág. 4 (348/2024)</t>
  </si>
  <si>
    <t>CCT-ALT.20250630.306/2025</t>
  </si>
  <si>
    <t>METALURGIA; INDÚSTRIAS METALÚRGICAS DE BASE; FABRICAÇÃO DE PRODUTOS METÁLICOS, EXCETO MÁQUINAS E EQUIPAMENTOS; REMUNERAÇÕES; SUBSÍDIO DE REFEIÇÃO</t>
  </si>
  <si>
    <t>Associação dos Industriais Metalúrgicos, Metalomecânicos e Afins de Portugal - AIMMAP; Sindicato das Indústrias Metalúrgicas e Afins - SIMA</t>
  </si>
  <si>
    <t>251/2026</t>
  </si>
  <si>
    <t>Contrato coletivo entre a NORQUIFAR - Associação Nacional dos Importadores/Armazenistas e Retalhistas de Produtos Químicos e Farmacêuticos e a Federação Intersindical das Indústrias Metalúrgicas, Químicas, Eléctricas, Farmacêutica, Celulose, Papel, Gráfica, Imprensa, Energia e Minas - FIEQUIMETAL - Alteração salarial e outras.</t>
  </si>
  <si>
    <t>BTE 23, 22/06/2025, pág. 57 (294/2025)</t>
  </si>
  <si>
    <t>CCT-ALT.20250623.294/2025</t>
  </si>
  <si>
    <t>PRODUTOS FARMACÊUTICOS; COMÉRCIO POR GROSSO DE PRODUTOS FARMACÊUTICOS E MÉDICOS; REMUNERAÇÕES; TRABALHO SUPLEMENTAR; SUBSÍDIO DE DESLOCAÇÃO; DESLOCAÇÕES; VIAGENS EM SERVIÇO; DIUTURNIDADES; ABONO PARA FALHAS; SUBSÍDIO DE REFEIÇÃO</t>
  </si>
  <si>
    <t>NORQUIFAR - Associação Nacional dos Importadores/Armazenistas e Retalhistas de Produtos Químicos e Farmacêuticos; Federação Intersindical das Indústrias Metalúrgicas, Químicas, Eléctricas, Farmacêutica, Celulose, Papel, Gráfica, Imprensa, Energia e Minas - FIEQUIMETAL</t>
  </si>
  <si>
    <t>252/2026</t>
  </si>
  <si>
    <t>Acordo de empresa entre a Autoneum Portugal, L.da e o Sindicato dos Trabalhadores das Indústrias Transformadoras, Energia e Actividades do Ambiente do Sul - SITE-SUL.</t>
  </si>
  <si>
    <t>METALURGIA; FABRICAÇÃO DE OUTROS COMPONENTES E ACESSÓRIOS PARA VEÍCULOS A MOTOR</t>
  </si>
  <si>
    <t>Autoneum Portugal, L.da; Sindicato dos Trabalhadores das Indústrias Transformadoras, Energia e Actividades do Ambiente do Sul - SITE-SUL</t>
  </si>
  <si>
    <t>253/2026</t>
  </si>
  <si>
    <t>Acordo de empresa entre a Movijovem - Mobilidade Juvenil - Cooperativa de Interesse Público de Responsabilidade Limitada e a FESAHT - Federação dos Sindicatos da Agricultura, Alimentação, Bebidas, Hotelaria e Turismo de Portugal - Alteração salarial e outras.</t>
  </si>
  <si>
    <t>BTE 44, 29/11/2020, pág. 3756 (297/2020) e BTE 11, 22/03/2025, pág. 217 (124/2025)</t>
  </si>
  <si>
    <t>AE-ALT.20250324.124/2025</t>
  </si>
  <si>
    <t>HOTELARIA; OUTROS LOCAIS DE ALOJAMENTO DE CURTA DURAÇÃO; COMÉRCIO A RETALHO DE BENS CULTURAIS E RECREATIVOS, N. E.; REMUNERAÇÕES; DESLOCAÇÕES; AJUDAS DE CUSTO; SUBSÍDIO DE ALIMENTAÇÃO</t>
  </si>
  <si>
    <t>Movijovem - Mobilidade Juvenil - Cooperativa de Interesse Público de Responsabilidade Limitada; FESAHT - Federação dos Sindicatos da Agricultura, Alimentação, Bebidas, Hotelaria e Turismo de Portugal</t>
  </si>
  <si>
    <t>254/2026</t>
  </si>
  <si>
    <t>Acordo de empresa entre a Santa Casa da Misericórdia de Lisboa - SCML e o Sindicato dos Enfermeiros Portugueses - SEP - Alteração salarial e outras e texto consolidado.</t>
  </si>
  <si>
    <t>AE-ALT.20250609.276/2025</t>
  </si>
  <si>
    <t>Santa Casa da Misericórdia de Lisboa - SCML; Sindicato dos Enfermeiros Portugueses - SEP</t>
  </si>
  <si>
    <t>255/2026</t>
  </si>
  <si>
    <t>Acordo de empresa entre a Santa Casa da Misericórdia de Lisboa - SCML e o SDPGL - Sindicato Democrático dos Professores da Grande Lisboa e Vale do Tejo e outros - Deliberação da comissão paritária.</t>
  </si>
  <si>
    <t>BTE 48, 29/12/2023, pág. 102 (512/2023)</t>
  </si>
  <si>
    <t>AE.20231229.512/2023</t>
  </si>
  <si>
    <t>INSTITUIÇÕES PARTICULARES DE SOLIDARIEDADE SOCIAL; OUTRAS ATIVIDADES DE AÇÃO SOCIAL SEM ALOJAMENTO, N. E.; ENSINO SUPERIOR; ATIVIDADES DOS ESTABELECIMENTOS DE SAÚDE COM INTERNAMENTO; COMISSÃO PARITÁRIA; ANTIGUIDADE; CARREIRA PROFISSIONAL; ENQUADRAMENTO SALARIAL</t>
  </si>
  <si>
    <t>Santa Casa da Misericórdia de Lisboa - SCML; SDPGL - Sindicato Democrático dos Professores da Grande Lisboa e Vale do Tejo; Sindicato Nacional dos Profissionais da Educação - SINAPE; Sindicato Nacional e Democrático dos Professores - SINDEP; Sindicato dos Técnicos Superiores de Diagnóstico e Terapêutica - SINDITE; Sindicato dos Trabalhadores da Administração Pública e de Entidades com Fins Públicos - SINTAP; Sindicato dos Trabalhadores do Setor de Serviços - SITESE; Sindicato dos Técnicos, Administrativos e Auxiliares de Educação do Sul e Regiões Autónomas (STAAE Sul e Regiões Autónomas); Sindicato dos Quadros Técnicos do Estado e de Entidades com Fins Públicos - STE</t>
  </si>
  <si>
    <t>256/2026</t>
  </si>
  <si>
    <t>Acordo coletivo de trabalho n.º 32/2026 - Acordo coletivo de empregador público entre o Município da Amadora e o Sindicato dos Quadros Técnicos do Estado e de Entidades com Fins Públicos - STE.</t>
  </si>
  <si>
    <t>23</t>
  </si>
  <si>
    <t>Acordo Coletivo de Trabalho n.º 51/2019 - Diário da República n.º 75/2019, Série II de 2019-04-16</t>
  </si>
  <si>
    <t>Município da Amadora; Sindicato dos Quadros Técnicos do Estado e de Entidades com Fins Públicos - STE</t>
  </si>
  <si>
    <t>257/2026</t>
  </si>
  <si>
    <t>Acordo coletivo de trabalho n.º 33/2026 - Acordo coletivo de empregador público entre a Freguesia de Bicos e o STAL - Sindicato Nacional dos Trabalhadores da Administração Local e Regional, Empresas Públicas, Concessionárias e Afins.</t>
  </si>
  <si>
    <t>Freguesia de Bicos; STAL - Sindicato Nacional dos Trabalhadores da Administração Local e Regional, Empresas Públicas, Concessionárias e Afins</t>
  </si>
  <si>
    <t>258/2026</t>
  </si>
  <si>
    <t>Acordo coletivo de trabalho n.º 34/2026 - Acordo coletivo de empregador público entre o Município da Amadora e a Federação de Sindicatos da Administração Pública e de Entidades com Fins Públicos - FESAP.</t>
  </si>
  <si>
    <t>Acordo Coletivo de Trabalho n.º 48/2019 - Diário da República n.º 75/2019, Série II de 2019-04-16</t>
  </si>
  <si>
    <t>Município da Amadora; Federação de Sindicatos da Administração Pública e de Entidades com Fins Públicos - FESAP</t>
  </si>
  <si>
    <t>259/2026</t>
  </si>
  <si>
    <t>Contrato coletivo entre a Associação Portuguesa da Indústria de Ourivesaria - APIO e a Federação Intersindical das Indústrias Metalúrgicas, Químicas, Eléctricas, Farmacêutica, Celulose, Papel, Gráfica, Imprensa, Energia e Minas - FIEQUIMETAL - Alteração salarial e outras e texto consolidado.</t>
  </si>
  <si>
    <t>Associação Portuguesa da Indústria de Ourivesaria - APIO; Federação Intersindical das Indústrias Metalúrgicas, Químicas, Eléctricas, Farmacêutica, Celulose, Papel, Gráfica, Imprensa, Energia e Minas - FIEQUIMETAL</t>
  </si>
  <si>
    <t>260/2026</t>
  </si>
  <si>
    <t>Contrato coletivo entre a Associação Portuguesa das Empresas do Sector Eléctrico e Electrónico e a FE - Federação dos Engenheiros e outros - Alteração salarial e outras.</t>
  </si>
  <si>
    <t>BTE 18, 15/05/2025, pág. 130 (228/2025)</t>
  </si>
  <si>
    <t>MATERIAL ELÉCTRICO E ELECTRÓNICO; FABRICAÇÃO DE EQUIPAMENTOS INFORMÁTICOS E PARA COMUNICAÇÕES, PRODUTOS ELETRÓNICOS E ÓTICOS; FABRICAÇÃO DE EQUIPAMENTO ELÉTRICO; REMUNERAÇÕES; PRÉMIO DE ANTIGUIDADE; SUBSÍDIO DE REFEIÇÃO</t>
  </si>
  <si>
    <t>Associação Portuguesa das Empresas do Sector Eléctrico e Electrónico; FE - Federação dos Engenheiros; Sindicato das Indústrias Metalúrgicas e Afins - SIMA; SINDEL - Sindicato Nacional da Indústria e da Energia; Sindicato dos Trabalhadores do Setor de Serviços - SITESE</t>
  </si>
  <si>
    <t>261/2026</t>
  </si>
  <si>
    <t>Contrato coletivo entre a Associação Comercial e Empresarial do Distrito de Aveiro (ACA) e o CESP - Sindicato dos Trabalhadores do Comércio, Escritórios e Serviços de Portugal e outro - Alteração salarial e outras.</t>
  </si>
  <si>
    <t>BTE 22, 15/06/2025, pág. 4 (278/2025)</t>
  </si>
  <si>
    <t>COMÉRCIO. AVEIRO; COMÉRCIO POR GROSSO; COMÉRCIO A RETALHO; REMUNERAÇÕES; SUBSÍDIO DE ALIMENTAÇÃO; SUBSÍDIO DE CHEFIA; DIUTURNIDADES; FORMAÇÃO PROFISSIONAL; SUBSÍDIO DE NASCIMENTO; DELEGADO SINDICAL; ATIVIDADE SINDICAL; CLASSIFICAÇÃO DE ESTABELECIMENTO</t>
  </si>
  <si>
    <t>Associação Comercial e Empresarial do Distrito de Aveiro (ACA); CESP - Sindicato dos Trabalhadores do Comércio, Escritórios e Serviços de Portugal; Sindicato do Comércio, Escritórios e Serviços - SINDCES</t>
  </si>
  <si>
    <t>262/2026</t>
  </si>
  <si>
    <t>Contrato coletivo entre a GROQUIFAR - Associação de Grossistas de Produtos Químicos e Farmacêuticos e a Federação de Sindicatos da Indústria, Energia e Transportes - COFESINT e outra (produtos químicos) - Alteração salarial e outras.</t>
  </si>
  <si>
    <t>BTE 32, 29/08/2024, pág. 158 (374/2024) e BTE 25, 08/07/2025, pág. 76 (319/2025)</t>
  </si>
  <si>
    <t>PRODUTOS QUÍMICOS; COMÉRCIO POR GROSSO DE PRODUTOS QUÍMICOS; REMUNERAÇÕES; ABONO PARA FALHAS; DIUTURNIDADES; SUBSÍDIO DE REFEIÇÃO; AJUDAS DE CUSTO; TELETRABALHO; SEGURO DE ACIDENTES PESSOAIS; RECLASSIFICAÇÃO PROFISSIONAL; RETRIBUIÇÃO VARIÁVEL</t>
  </si>
  <si>
    <t>263/2026</t>
  </si>
  <si>
    <t>Contrato coletivo entre a GROQUIFAR - Associação de Grossistas de Produtos Químicos e Farmacêuticos e a FEPCES - Federação Portuguesa dos Sindicatos do Comércio, Escritórios e Serviços e outra (produtos químicos) - Alteração salarial e outras.</t>
  </si>
  <si>
    <t>BTE 33, 08/09/2024, pág. 79 (383/2024) e BTE 26, 15/07/2025, pág. 82 (330/2025)</t>
  </si>
  <si>
    <t>PRODUTOS QUÍMICOS; COMÉRCIO POR GROSSO DE PRODUTOS QUÍMICOS; REMUNERAÇÕES; ABONO PARA FALHAS; DIUTURNIDADES; SUBSÍDIO DE REFEIÇÃO; AJUDAS DE CUSTO; SEGURO DE ACIDENTES PESSOAIS; RETRIBUIÇÃO VARIÁVEL</t>
  </si>
  <si>
    <t>GROQUIFAR - Associação de Grossistas de Produtos Químicos e Farmacêuticos; FEPCES - Federação Portuguesa dos Sindicatos do Comércio, Escritórios e Serviços; Federação dos Sindicatos de Transportes e Comunicações - FECTRANS</t>
  </si>
  <si>
    <t>264/2026</t>
  </si>
  <si>
    <t>Contrato coletivo entre a GROQUIFAR - Associação de Grossistas de Produtos Químicos e Farmacêuticos e o Sindicato das Indústrias e Afins - SINDEQ (produtos químicos) - Alteração salarial e outras.</t>
  </si>
  <si>
    <t>BTE 34, 15/09/2024, pág. 14 (399/2024) e BTE 25, 08/07/2025, pág. 85 (320/2025)</t>
  </si>
  <si>
    <t>PRODUTOS QUÍMICOS; COMÉRCIO POR GROSSO DE PRODUTOS QUÍMICOS; REMUNERAÇÕES; ABONO PARA FALHAS; DIUTURNIDADES; SUBSÍDIO DE REFEIÇÃO; AJUDAS DE CUSTO; SEGURO DE ACIDENTES PESSOAIS; RECLASSIFICAÇÃO PROFISSIONAL; RETRIBUIÇÃO VARIÁVEL</t>
  </si>
  <si>
    <t>265/2026</t>
  </si>
  <si>
    <t>Contrato coletivo entre a Associação dos Comerciantes de Carnes de Portugal - ACCP e outras e o Sindicato dos Trabalhadores da Indústria e Comércio de Carnes do Sul - Alteração salarial.</t>
  </si>
  <si>
    <t>BTE 17, 08/05/2025, pág. 76 (211/2025)</t>
  </si>
  <si>
    <t>CARNES. COMÉRCIO; COMÉRCIO A RETALHO DE CARNE E PRODUTOS À BASE DE CARNE; REMUNERAÇÕES</t>
  </si>
  <si>
    <t>Associação dos Comerciantes de Carnes de Portugal - ACCP; ACIRO - Associação Comercial, Industrial e Serviços da Região Oeste; AECBP - Associação Empresarial da Covilhã, Belmonte e Penamacor; Associação do Comércio, Indústria, Serviços e Turismo do Distrito de Setúbal; Sindicato dos Trabalhadores da Indústria e Comércio de Carnes do Sul</t>
  </si>
  <si>
    <t>266/2026</t>
  </si>
  <si>
    <t>Acordo de empresa entre a REBOPORT - Sociedade Portuguesa de Reboques Marítimos, SA e o Sindicato da Marinha Mercante, Indústrias e Energia - SITEMAQ - Alteração salarial e outras.</t>
  </si>
  <si>
    <t>BTE 20, 29/05/2025, pág. 92 (251/2025)</t>
  </si>
  <si>
    <t>AE-ALT.20250529.251/2025</t>
  </si>
  <si>
    <t>TRABALHO PORTUÁRIO; ATIVIDADES AUXILIARES DOS TRANSPORTES POR ÁGUA; REMUNERAÇÕES; SUBSÍDIO POR PERDA DE HAVERES; LOCAL DE TRABALHO; DIUTURNIDADES; SUBSÍDIO DE REFEIÇÃO; SEGURO POR MORTE OU INCAPACIDADE DO TRABALHADOR; CONTRATO DE TRABALHO; SUBSÍDIO DE TRANSPORTE; CATEGORIA PROFISSIONAL; PROMOÇÃO PROFISSIONAL</t>
  </si>
  <si>
    <t>REBOPORT - Sociedade Portuguesa de Reboques Marítimos, SA; Sindicato da Marinha Mercante, Indústrias e Energia - SITEMAQ</t>
  </si>
  <si>
    <t>267/2026</t>
  </si>
  <si>
    <t>Acordo de empresa entre a Portway - Handling de Portugal, SA e o Sindicato Nacional dos Trabalhadores da Aviação Civil - SINTAC - Alteração salarial e outra.</t>
  </si>
  <si>
    <t>BTE 11, 22/03/2024, pág. 136 (137/2024) e BTE 16, 29/04/2025, pág. 165 (201/2025)</t>
  </si>
  <si>
    <t>AE-ALT.20250429.201/2025</t>
  </si>
  <si>
    <t>Portway - Handling de Portugal, SA; Sindicato Nacional dos Trabalhadores da Aviação Civil - SINTAC</t>
  </si>
  <si>
    <t>268/2026</t>
  </si>
  <si>
    <t>Acordo coletivo de trabalho n.º 35/2026 - Acordo coletivo de empregador público entre a Freguesia de Pontinha e Famões e o Sindicato dos Trabalhadores da Administração Pública e de Entidades com Fins Públicos - SINTAP.</t>
  </si>
  <si>
    <t>24</t>
  </si>
  <si>
    <t>Acordo Colectivo de Trabalho n.º 106/2025</t>
  </si>
  <si>
    <t>Freguesia de Pontinha e Famões; Sindicato dos Trabalhadores da Administração Pública e de Entidades com Fins Públicos - SINTAP</t>
  </si>
  <si>
    <t>269/2026</t>
  </si>
  <si>
    <t>Acordo coletivo de trabalho n.º 36/2026 - Acordo coletivo de empregador público entre o Município de Góis e o Sindicato dos Trabalhadores da Administração Pública e de Entidades com Fins Públicos - SINTAP.</t>
  </si>
  <si>
    <t>Município de Góis; Sindicato dos Trabalhadores da Administração Pública e de Entidades com Fins Públicos - SINTAP</t>
  </si>
  <si>
    <t>270/2026</t>
  </si>
  <si>
    <t>Aviso n.º 6/2026 - Deliberação da comissão paritária ao Acordo Coletivo de Trabalho n.º 50/2022 entre o Município de Condeixa-a-Nova e o Sindicato dos Trabalhadores da Administração Pública e de Entidades com Fins Públicos - SINTAP.</t>
  </si>
  <si>
    <t>Acordo Coletivo de Trabalho n.º 50/2022 - Diário da República n.º 241/2022, Série II de 2022-12-16</t>
  </si>
  <si>
    <t>EMPREGO PÚBLICO; ADMINISTRAÇÃO LOCAL; COMISSÃO PARITÁRIA; FÉRIAS; AVALIAÇÃO DO DESEMPENHO</t>
  </si>
  <si>
    <t>Município de Condeixa-a-Nova; Sindicato dos Trabalhadores da Administração Pública e de Entidades com Fins Públicos - SINTAP</t>
  </si>
  <si>
    <t>271/2026</t>
  </si>
  <si>
    <t>Portaria de extensão do contrato coletivo entre a Confederação dos Agricultores de Portugal (CAP) e o Sindicato Nacional dos Trabalhadores da Agricultura, Floresta, Pesca, Turismo, Indústria Alimentar, Bebidas e Afins - SETAAB.</t>
  </si>
  <si>
    <t>BTE 6, 15/02/2026, pág. 12 (61/2026) Portaria n.º 262/2026/1 - Diário da República n.º 112/2026, Série I de 2026-06-12</t>
  </si>
  <si>
    <t>CCT.20260216.61/2026</t>
  </si>
  <si>
    <t>272/2026</t>
  </si>
  <si>
    <t>Portaria de extensão do acordo coletivo entre a LACTICOOP - União de Cooperativas de Produtores de Leite de Entre Douro e Mondego, UCRL e outra e o Sindicato dos Profissionais de Lacticínios, Alimentação, Agricultura, Escritórios, Comércio, Serviços, Transportes Rodoviários, Metalomecânica, Metalurgia, Construção Civil e Madeiras.</t>
  </si>
  <si>
    <t>BTE 37, 08/10/2025, pág. 89 (429/2025) Portaria n.º 261/2026/1 - Diário da República n.º 112/2026, Série I de 2026-06-12</t>
  </si>
  <si>
    <t>273/2026</t>
  </si>
  <si>
    <t>Portaria de extensão das alterações do contrato coletivo entre a Associação dos Distribuidores de Produtos Alimentares (ADIPA) e outra e o Sindicato dos Trabalhadores do Setor de Serviços - SITESE (comércio por grosso).</t>
  </si>
  <si>
    <t>BTE 6, 15/02/2026, pág. 146 (65/2026) Portaria n.º 260/2026/1 - Diário da República n.º 112/2026, Série I de 2026-06-12</t>
  </si>
  <si>
    <t>CCT-ALT.20260216.65/2026</t>
  </si>
  <si>
    <t>COMÉRCIO. PRODUTOS ALIMENTARES E OUTROS; COMÉRCIO POR GROSSO DE PRODUTOS ALIMENTARES, BEBIDAS E TABACO</t>
  </si>
  <si>
    <t>274/2026</t>
  </si>
  <si>
    <t>Portaria de extensão das alterações do contrato coletivo entre a Associação dos Distribuidores de Produtos Alimentares (ADIPA) e o Sindicato dos Trabalhadores do Setor de Serviços - SITESE (comércio a retalho de produtos alimentares).</t>
  </si>
  <si>
    <t>BTE 6, 15/02/2026, pág. 151 (66/2026) Portaria n.º 258/2026/1 - Diário da República n.º 112/2026, Série I de 2026-06-12</t>
  </si>
  <si>
    <t>CCT-ALT.20260216.66/2026</t>
  </si>
  <si>
    <t>COMÉRCIO. PRODUTOS ALIMENTARES E OUTROS; COMÉRCIO A RETALHO EM OUTROS ESTABELECIMENTOS NÃO ESPECIALIZADOS, COM PREDOMINÂNCIA DE PRODUTOS ALIMENTARES, BEBIDAS OU TABACO</t>
  </si>
  <si>
    <t>275/2026</t>
  </si>
  <si>
    <t>Portaria de extensão do acordo de empresa entre a EMEL - Empresa Municipal de Mobilidade e Estacionamento de Lisboa, EM, SA e o CESP - Sindicato dos Trabalhadores do Comércio, Escritórios e Serviços de Portugal.</t>
  </si>
  <si>
    <t>BTE 38, 15/10/2025, pág. 53 (436/2025) Portaria n.º 259/2026/1 - Diário da República n.º 112/2026, Série I de 2026-06-12</t>
  </si>
  <si>
    <t>AE.20251015.436/2025</t>
  </si>
  <si>
    <t>ACTIVIDADES AUXILIARES DOS TRANSPORTES TERRESTRES; OUTRAS ATIVIDADES AUXILIARES DOS TRANSPORTES TERRESTRES</t>
  </si>
  <si>
    <t>276/2026</t>
  </si>
  <si>
    <t>Portaria de extensão do contrato coletivo entre a Associação da Hotelaria, Restauração e Similares de Portugal (AHRESP) e o Sindicato dos Trabalhadores do Setor de Serviços - SITESE (restauração e bebidas).</t>
  </si>
  <si>
    <t>BTE 6, 15/02/2026, pág. 115 (64/2026) Portaria n.º 251/2026/1 - Diário da República n.º 111/2026, Série I de 2026-06-11</t>
  </si>
  <si>
    <t>CCT.20260216.64/2026</t>
  </si>
  <si>
    <t>277/2026</t>
  </si>
  <si>
    <t>Portaria de extensão das alterações do contrato coletivo entre a Associação Portuguesa de Facility Services - APFS e o Sindicato dos Trabalhadores de Serviços de Portaria, Vigilância, Limpeza, Domésticas e Actividades Diversas - STAD e outros.</t>
  </si>
  <si>
    <t>BTE 7, 22/02/2026, pág. 41 (76/2026) Portaria n.º 253/2026/1 - Diário da República n.º 111/2026, Série I de 2026-06-11</t>
  </si>
  <si>
    <t>CCT-ALT.20260223.76/2026</t>
  </si>
  <si>
    <t>SERVIÇOS DE LIMPEZA; LIMPEZA GERAL DE EDIFÍCIOS; OUTRAS ATIVIDADES DE LIMPEZA DE EDIFÍCIOS E EM EQUIPAMENTOS INDUSTRIAIS; ATIVIDADES DE DESINFEÇÃO, DESRATIZAÇÃO E SIMILARES; ATIVIDADES DE PRESTAÇÃO DE SERVIÇOS PESSOAIS DOMÉSTICOS</t>
  </si>
  <si>
    <t>278/2026</t>
  </si>
  <si>
    <t>Portaria de extensão das alterações do contrato coletivo entre a Associação Portuguesa de Facility Services - APFS e o STTEPS - Sindicato de Todos os Trabalhadores de Empresas Prestadoras de Serviços - Vigilância, Limpeza, Manutenção, Call Center e Terceirização de Serviços.</t>
  </si>
  <si>
    <t>BTE 6, 15/02/2026, pág. 157 (68/2026) Portaria n.º 252/2026/1 - Diário da República n.º 111/2026, Série I de 2026-06-11</t>
  </si>
  <si>
    <t>CCT-ALT.20260216.68/2026</t>
  </si>
  <si>
    <t>279/2026</t>
  </si>
  <si>
    <t>Contrato coletivo entre a Associação dos Comerciantes do Porto e outras e o Sindicato dos Trabalhadores do Setor de Serviços - SITESE e outro - Revisão global.</t>
  </si>
  <si>
    <t>CCT-ALT.20191108.394/2019</t>
  </si>
  <si>
    <t>COMÉRCIO. PORTO; COMÉRCIO A RETALHO; REPARAÇÃO E MANUTENÇÃO DE RELÓGIOS E DE ARTIGOS DE JOALHARIA; ATIVIDADES DE SALÕES DE CABELEIREIRO E BARBEIROS; ATIVIDADES FUNERÁRIAS E CONEXAS</t>
  </si>
  <si>
    <t>Sindicato dos Trabalhadores do Setor de Serviços - SITESE; Sindicato Independente dos Trabalhadores do Comércio, Escritórios, Serviços, Restauração e Bebidas, e outros - SITCES; Associação dos Comerciantes do Porto; Associação Comercial e Industrial do Concelho de Santo Tirso; Associação Empresarial do Concelho de Matosinhos; Associação Empresarial de Baião - AEB; AEMarco - Associação Empresarial do Marco de Canaveses; Associação Empresarial de Paços de Ferreira; Associação Empresarial da Maia - AEMAIA; Associação Empresarial de Amarante; Associação Comercial e Industrial do Concelho de Gondomar; Associação Empresarial da Póvoa de Varzim; Associação Empresarial de Felgueiras; Associação Empresarial de Penafiel - AEP; Associação Comercial e Industrial de Vila do Conde - ACIVC; Associação Comercial, Industrial e de Serviços de Vila Nova de Gaia</t>
  </si>
  <si>
    <t>280/2026</t>
  </si>
  <si>
    <t>Acordo coletivo entre a Setefrete - Sociedade de Tráfego e Cargas, SA e outras e o Sindicato Nacional dos Estivadores, Trabalhadores do Tráfego, Conferentes Marítimos e Outros.</t>
  </si>
  <si>
    <t>TRABALHO PORTUÁRIO; MANUSEAMENTO DE CARGA; ATIVIDADES AUXILIARES DOS TRANSPORTES POR ÁGUA; ATIVIDADES DAS EMPRESAS DE TRABALHO TEMPORÁRIO; OUTRO FORNECIMENTO DE RECURSOS HUMANOS</t>
  </si>
  <si>
    <t>Setefrete - Sociedade de Tráfego e Cargas, SA; Tersado - Terminais Portuários do Sado, SA; Setulset - Empresa de Trabalho Portuário - Setúbal, L.da; Sindicato Nacional dos Estivadores, Trabalhadores do Tráfego, Conferentes Marítimos e Outros</t>
  </si>
  <si>
    <t>281/2026</t>
  </si>
  <si>
    <t>Acordo coletivo entre a BP Portugal - Comércio de Combustíveis e Lubrificantes, SA e outras e a Federação de Sindicatos da Indústria, Energia e Transportes - COFESINT e outros - Alteração salarial e outras.</t>
  </si>
  <si>
    <t>BTE 25, 08/07/2025, pág. 101 (322/2025)</t>
  </si>
  <si>
    <t>ACT.20250708.322/2025</t>
  </si>
  <si>
    <t>PETRÓLEO; FABRICAÇÃO DE PRODUTOS PETROLÍFEROS REFINADOS; FABRICAÇÃO DE OUTROS PRODUTOS QUÍMICOS DIVERSOS, N. E.; COMÉRCIO POR GROSSO DE PRODUTOS PETROLÍFEROS; REMUNERAÇÕES; SUBSÍDIO DE PREVENÇÃO; DESLOCAÇÕES; SUBSÍDIO DE ALIMENTAÇÃO; SUBSÍDIO DE TURNO; SUBSÍDIO DE HORÁRIO MÓVEL; SUBSÍDIO DE HORÁRIO DESFASADO; SUBSÍDIO DE CASAMENTO; SUBSÍDIO DE GOC; SUBSÍDIO DE LAVAGEM DE ROUPA; ABONO PARA FALHAS; SUBSÍDIO DE CONDUÇÃO ISOLADA; ISENÇÃO DE HORÁRIO DE TRABALHO; DIUTURNIDADES; TRANSPORTE DE MERCADORIAS PERIGOSAS; SEGURO DE ACIDENTES PESSOAIS; COMPARTICIPAÇÃO EM INTERNAMENTO HOSPITALAR OU REEDUCATIVO; SUBSÍDIO ESPECIAL A TRABALHADORES COM FILHOS DEFICIENTES</t>
  </si>
  <si>
    <t>BP Portugal - Comércio de Combustíveis e Lubrificantes, SA; Moeve - Comercial Portuguesa, L.da; Petrogal, SA; CLC - Companhia Logística de Combustíveis, SA; TANQUISADO - Terminais Marítimos, SA; REPSOL Portuguesa, L.da; REPSOL Gás Portugal, Unipessoal L.da; Federação de Sindicatos da Indústria, Energia e Transportes - COFESINT; FE - Federação dos Engenheiros; Sindicato dos Trabalhadores do Setor de Serviços - SITESE; Sindicato das Indústrias e Afins - SINDEQ</t>
  </si>
  <si>
    <t>282/2026</t>
  </si>
  <si>
    <t>Acordo de empresa entre a Auto-Estradas Norte Litoral - Sociedade Concessionária - AENL, SA e o Sindicato Independente dos Trabalhadores do Comércio, Escritórios, Serviços, Restauração e Bebidas, e outros - SITCES.</t>
  </si>
  <si>
    <t>ACTIVIDADES AUXILIARES DOS TRANSPORTES TERRESTRES; GESTÃO DE INFRAESTRUTURAS DOS TRANSPORTES TERRESTRES</t>
  </si>
  <si>
    <t>Auto-Estradas Norte Litoral - Sociedade Concessionária - AENL, SA; Sindicato Independente dos Trabalhadores do Comércio, Escritórios, Serviços, Restauração e Bebidas, e outros - SITCES</t>
  </si>
  <si>
    <t>283/2026</t>
  </si>
  <si>
    <t>Acordo de empresa entre a United European Car Carriers, Unipessoal L.da e a Federação de Sindicatos dos Trabalhadores do Mar - FESMAR - Alteração salarial/texto consolidado.</t>
  </si>
  <si>
    <t>AE-ALT.20250609.270/2025</t>
  </si>
  <si>
    <t>TRANSPORTES MARÍTIMOS; TRANSPORTES MARÍTIMOS DE MERCADORIAS</t>
  </si>
  <si>
    <t>United European Car Carriers, Unipessoal L.da; Federação de Sindicatos dos Trabalhadores do Mar - FESMAR</t>
  </si>
  <si>
    <t>284/2026</t>
  </si>
  <si>
    <t>Acordo de empresa entre a Boluda Towage Portugal, SA e o Sindicato da Marinha Mercante, Indústrias e Energia - SITEMAQ - Alteração salarial e outras.</t>
  </si>
  <si>
    <t>BTE 15, 22/04/2025, pág. 88 (185/2025)</t>
  </si>
  <si>
    <t>AE.20250422.185/2025</t>
  </si>
  <si>
    <t>ACTIVIDADES AUXILIARES DOS TRANSPORTES POR ÁGUA; ATIVIDADES AUXILIARES DOS TRANSPORTES POR ÁGUA; REMUNERAÇÕES; DIUTURNIDADES; RETRIBUIÇÃO DO TRABALHO SUPLEMENTAR; SUBSÍDIO DE DISPONIBILIDADE; SUBSÍDIO DE ALIMENTAÇÃO; SUBSÍDIO DE TRANSPORTE; SUBSÍDIO POR PERDA DE HAVERES; ATIVIDADE SINDICAL; CONTRATO INDIVIDUAL DE TRABALHO; COMISSÃO PARITÁRIA</t>
  </si>
  <si>
    <t>Boluda Towage Portugal, SA; Sindicato da Marinha Mercante, Indústrias e Energia - SITEMAQ</t>
  </si>
  <si>
    <t>286/2026</t>
  </si>
  <si>
    <t>Contrato coletivo entre a Associação Nacional dos Industriais de Lacticínios (ANIL) e outras e o Sindicato das Indústrias Metalúrgicas e Afins - SIMA - Alteração salarial e outra.</t>
  </si>
  <si>
    <t>25</t>
  </si>
  <si>
    <t>BTE 17, 08/05/2025, pág. 48 (207/2025)</t>
  </si>
  <si>
    <t>CCT-ALT.20250508.207/2025</t>
  </si>
  <si>
    <t>LACTICÍNIOS; INDÚSTRIA DE LATICÍNIOS, REMUNERAÇÕES; SUBSÍDIO DE ALIMENTAÇÃO</t>
  </si>
  <si>
    <t>Associação Nacional dos Industriais de Lacticínios (ANIL); AGROS - União das Cooperativas de Produtores de Leite de Entre Douro e Minho e Trás-os-Montes, UCRL; PROLEITE - Cooperativa Agrícola de Produtores de Leite, CRL; Sindicato das Indústrias Metalúrgicas e Afins - SIMA</t>
  </si>
  <si>
    <t>287/2026</t>
  </si>
  <si>
    <t>Contrato coletivo entre a APQuímica - Associação Portuguesa da Química, Petroquímica e Refinação e outras e a Federação de Sindicatos da Indústria, Energia e Transportes - COFESINT e outros - Alteração salarial e outras.</t>
  </si>
  <si>
    <t>BTE 47, 22/12/2025, pág. 14 (528/2025)</t>
  </si>
  <si>
    <t>PRODUTOS QUÍMICOS; FABRICAÇÃO DE PRODUTOS QUÍMICOS DE BASE, ADUBOS E COMPOSTOS AZOTADOS, MATÉRIAS PLÁSTICAS E BORRACHA SINTÉTICA, SOB FORMAS PRIMÁRIAS; FABRICAÇÃO DE PESTICIDAS, DESINFETANTES E OUTROS PRODUTOS AGROQUÍMICOS; FABRICAÇÃO DE TINTAS, VERNIZES E PRODUTOS SIMILARES, TINTAS DE IMPRESSÃO E MÁSTIQUES; FABRICAÇÃO DE PRODUTOS PARA LAVAGEM, LIMPEZA E POLIMENTO; REMUNERAÇÕES; DESLOCAÇÕES; ABONO PARA FALHAS; SUBSÍDIO DE REFEIÇÃO</t>
  </si>
  <si>
    <t>APQuímica - Associação Portuguesa da Química, Petroquímica e Refinação; APCAS - Associação Portuguesa de Colas, Adesivos e Selantes; Associação dos Industriais de Cosmética, Perfumaria e Higiene Corporal (AIC); Associação dos Industriais de Sabões, Detergentes e Produtos de Conservação e Limpeza; Associação Portuguesa de Tintas; APIP - Associação Portuguesa da Indústria de Plásticos; Associação Portuguesa dos Industriais de Borracha; ARP - Associação dos Recauchutadores de Portugal; CropLife Portugal - Associação da Indústria da Ciência para a Proteção das Plantas; Federação de Sindicatos da Indústria, Energia e Transportes - COFESINT; FE - Federação dos Engenheiros; Sindicato das Indústrias e Afins - SINDEQ; Sindicato dos Trabalhadores do Setor de Serviços - SITESE; Sindicato das Indústrias Metalúrgicas e Afins - SIMA</t>
  </si>
  <si>
    <t>288/2026</t>
  </si>
  <si>
    <t>Contrato coletivo entre a APECA - Associação Portuguesa das Empresas de Contabilidade e Administração e o Sindicato dos Trabalhadores do Setor de Serviços - SITESE - Alteração salarial e outras.</t>
  </si>
  <si>
    <t>BTE 1, 08/01/2023, pág. 9 (4/2023)</t>
  </si>
  <si>
    <t>CCT.20230109.4/2023</t>
  </si>
  <si>
    <t>CONTABILIDADE; ATIVIDADES DE CONTABILIDADE E CONSULTORIA FISCAL; ATIVIDADES DE AUDITORIA E REVISÃO DE CONTAS; REMUNERAÇÕES; DISPENSA DE SERVIÇO; DIUTURNIDADES</t>
  </si>
  <si>
    <t>APECA - Associação Portuguesa das Empresas de Contabilidade e Administração; Sindicato dos Trabalhadores do Setor de Serviços - SITESE</t>
  </si>
  <si>
    <t>289/2026</t>
  </si>
  <si>
    <t>Acordo coletivo entre a AVEIPORT - Sociedade Operadora Portuária de Aveiro, L.da e outras e o Sindicato 2013 dos Trabalhadores dos Terminais Portuários de Aveiro - S2013TTPA - Alteração salarial e outras e texto consolidado.</t>
  </si>
  <si>
    <t>ACT-ALT.20250324.120/2025</t>
  </si>
  <si>
    <t>TRABALHO PORTUÁRIO; MANUSEAMENTO DE CARGA; ATIVIDADES DAS EMPRESAS DE TRABALHO TEMPORÁRIO</t>
  </si>
  <si>
    <t>AVEIPORT - Sociedade Operadora Portuária de Aveiro, L.da; SOCARPOR - Sociedade de Cargas Portuárias (Aveiro), SA; GPA - Empresa de Trabalho Portuário de Aveiro - Associação; Sindicato 2013 dos Trabalhadores dos Terminais Portuários de Aveiro - S2013TTPA</t>
  </si>
  <si>
    <t>290/2026</t>
  </si>
  <si>
    <t>Acordo coletivo entre a MEO - Serviços de Comunicações e Multimédia, SA e outras e o Sindicato Nacional dos Trabalhadores das Telecomunicações e Audiovisual - SINTTAV e outros - Alteração salarial e outras/texto consolidado.</t>
  </si>
  <si>
    <t>ACT-ALT.20250929.419/2025</t>
  </si>
  <si>
    <t>TELECOMUNICAÇÕES; ATIVIDADES DE TELECOMUNICAÇÕES POR CABO; ATIVIDADES DE PROGRAMAÇÃO INFORMÁTICA; ATIVIDADES MÉDICAS ESPECIALIZADAS; OUTRAS ATIVIDADES ASSOCIATIVAS, N. E.; INFRAESTRUTURAS DE COMPUTAÇÃO, ATIVIDADES DE PROCESSAMENTO DE DADOS, DOMICILIAÇÃO DE INFORMAÇÃO E ATIVIDADES RELACIONADAS; ATIVIDADES DOS CENTROS DE CHAMADAS; COMÉRCIO DE ELETRICIDADE, EXCETO PARA MOBILIDADE ELÉTRICA</t>
  </si>
  <si>
    <t>MEO - Serviços de Comunicações e Multimédia, SA; Altice Labs, SA; MEO - Associação de Cuidados de Saúde; Fundação MEO; Portugal Telecom Data Center, SA; FASTFIBER - Infraestruturas de Comunicações, SA; MEO Energia - Comercialização de Energia, SA; Sindicato Nacional dos Trabalhadores das Telecomunicações e Audiovisual - SINTTAV; Sindicato dos Trabalhadores do Grupo Altice em Portugal - STPT; SINDETELCO - Sindicato Democrático dos Trabalhadores dos Correios, Telecomunicações, Media e Serviços; Sindicato Nacional dos Trabalhadores dos Correios e Telecomunicações (SNTCT); TENSIQ - Sindicato Nacional de Quadros das Telecomunicações; Sindicato dos Trabalhadores de Telecomunicações e Comunicação Audiovisual - STT; SICOMP - Sindicato das Comunicações de Portugal; FE - Federação dos Engenheiros; Sindicato de Quadros das Comunicações (SINQUADROS)</t>
  </si>
  <si>
    <t>291/2026</t>
  </si>
  <si>
    <t>Acordo de empresa entre a DHL Aviation NV - SA (Sucursal) e o Sindicato dos Trabalhadores da Aviação e Aeroportos - SITAVA e outro - Alteração salarial e outras.</t>
  </si>
  <si>
    <t>BTE 18, 15/05/2024, pág. 387 (216/2024)</t>
  </si>
  <si>
    <t>AE-ALT.20250630.310/2025</t>
  </si>
  <si>
    <t>TRANSPORTES AÉREOS; TRANSPORTES AÉREOS DE MERCADORIAS; REMUNERAÇÕES; SUBSÍDIO DE TURNO; SUBSÍDIO DE HORÁRIO DESFASADO; DIUTURNIDADES; DESLOCAÇÕES; SUBSÍDIO DE REFEIÇÃO</t>
  </si>
  <si>
    <t>DHL Aviation NV - SA (Sucursal); Sindicato dos Trabalhadores da Aviação e Aeroportos - SITAVA; Sindicato Nacional dos Trabalhadores dos Correios e Telecomunicações (SNTCT)</t>
  </si>
  <si>
    <t>292/2026</t>
  </si>
  <si>
    <t>Contrato coletivo entre a Associação Portuguesa das Empresas do Sector Eléctrico e Electrónico e a FE - Federação dos Engenheiros e outros - Retificação.</t>
  </si>
  <si>
    <t>CCT-ALT-RECT</t>
  </si>
  <si>
    <t>BTE 23, 22/06/2026, pág. 84 (260/2026)</t>
  </si>
  <si>
    <t>CCT-ALT.20260622.260/2026</t>
  </si>
  <si>
    <t>MATERIAL ELÉCTRICO E ELECTRÓNICO; FABRICAÇÃO DE EQUIPAMENTOS INFORMÁTICOS E PARA COMUNICAÇÕES, PRODUTOS ELETRÓNICOS E ÓTICOS</t>
  </si>
  <si>
    <t>293/2026</t>
  </si>
  <si>
    <t>Acordo coletivo de trabalho n.º 37/2026 - Acordo coletivo de empregador público entre a Freguesia de Cortiçadas de Lavre e o STAL - Sindicato Nacional dos Trabalhadores da Administração Local e Regional, Empresas Públicas, Concessionárias e Afins.</t>
  </si>
  <si>
    <t>26</t>
  </si>
  <si>
    <t>Freguesia de Cortiçadas de Lavre; STAL - Sindicato Nacional dos Trabalhadores da Administração Local e Regional, Empresas Públicas, Concessionárias e Afins</t>
  </si>
  <si>
    <t>294/2026</t>
  </si>
  <si>
    <t>Acordo coletivo de trabalho n.º 38/2026 - Acordo coletivo de empregador público entre a Freguesia de Rio de Moinhos e o STAL - Sindicato Nacional dos Trabalhadores da Administração Local e Regional, Empresas Públicas, Concessionárias e Afins.</t>
  </si>
  <si>
    <t>Acordo Coletivo de Trabalho n.º 46/2018 - Diário da República n.º 88/2018, Série II de 2018-05-08</t>
  </si>
  <si>
    <t>Freguesia de Rio de Moinhos; STAL - Sindicato Nacional dos Trabalhadores da Administração Local e Regional, Empresas Públicas, Concessionárias e Afins</t>
  </si>
  <si>
    <t>295/2026</t>
  </si>
  <si>
    <t>Acordo coletivo de trabalho n.º 39/2026 - Acordo coletivo de empregador público entre a Freguesia de Vale de Vargo e o STAL - Sindicato Nacional dos Trabalhadores da Administração Local e Regional, Empresas Públicas, Concessionárias e Afins.</t>
  </si>
  <si>
    <t>Freguesia de Vale de Vargo; STAL - Sindicato Nacional dos Trabalhadores da Administração Local e Regional, Empresas Públicas, Concessionárias e Afins</t>
  </si>
  <si>
    <t>296/2026</t>
  </si>
  <si>
    <t>Aviso n.º 7/2026 - Alteração ao Acordo coletivo de trabalho n.º 101/2023 entre o Município de São Pedro do Sul e o Sindicato dos Trabalhadores da Administração Pública e de Entidades com Fins Públicos - SINTAP.</t>
  </si>
  <si>
    <t>Acordo Coletivo de Trabalho n.º 101/2023, de 29 de novembro, Boletim do Trabalho e Emprego (BTE), n.º 44 (Volume 90), pág. 4 e Aviso n.º 2/2024, de 29 de janeiro, Boletim do Trabalho e Emprego (BTE), n.º 4 (Volume 91), pág. 48</t>
  </si>
  <si>
    <t>Aviso n.º 2/2024</t>
  </si>
  <si>
    <t>EMPREGO PÚBLICO; ADMINISTRAÇÃO LOCAL; ISENÇÃO DE HORÁRIO DE TRABALHO; DISPENSA DE SERVIÇO</t>
  </si>
  <si>
    <t>Município de São Pedro do Sul; Sindicato dos Trabalhadores da Administração Pública e de Entidades com Fins Públicos - SINTAP</t>
  </si>
  <si>
    <t>298/2026</t>
  </si>
  <si>
    <t>Contrato coletivo entre a Associação dos Agricultores do Baixo Alentejo e o Sindicato Nacional dos Trabalhadores da Agricultura, Floresta, Pesca, Turismo, Indústria Alimentar, Bebidas e Afins - SETAAB - Revisão global.</t>
  </si>
  <si>
    <t>Associação dos Agricultores do Baixo Alentejo; Sindicato Nacional dos Trabalhadores da Agricultura, Floresta, Pesca, Turismo, Indústria Alimentar, Bebidas e Afins - SETAAB</t>
  </si>
  <si>
    <t>299/2026</t>
  </si>
  <si>
    <t>Contrato coletivo entre a ANEFA - Associação Nacional de Empresas Florestais, Agrícolas e do Ambiente e o Sindicato Nacional dos Trabalhadores da Agricultura, Floresta, Pesca, Turismo, Indústria Alimentar, Bebidas e Afins - SETAAB - Revisão global.</t>
  </si>
  <si>
    <t>ANEFA - Associação Nacional de Empresas Florestais, Agrícolas e do Ambiente; Sindicato Nacional dos Trabalhadores da Agricultura, Floresta, Pesca, Turismo, Indústria Alimentar, Bebidas e Afins - SETAAB</t>
  </si>
  <si>
    <t>300/2026</t>
  </si>
  <si>
    <t>Contrato coletivo entre a GROQUIFAR - Associação de Grossistas de Produtos Químicos e Farmacêuticos e a Federação Intersindical das Indústrias Metalúrgicas, Químicas, Eléctricas, Farmacêutica, Celulose, Papel, Gráfica, Imprensa, Energia e Minas - FIEQUIMETAL (gestão de pragas e saúde ambiental) - Revisão global.</t>
  </si>
  <si>
    <t>GROQUIFAR - Associação de Grossistas de Produtos Químicos e Farmacêuticos; Federação Intersindical das Indústrias Metalúrgicas, Químicas, Eléctricas, Farmacêutica, Celulose, Papel, Gráfica, Imprensa, Energia e Minas - FIEQUIMETAL</t>
  </si>
  <si>
    <t>301/2026</t>
  </si>
  <si>
    <t>Contrato coletivo entre a FNS - Federação Nacional dos Prestadores de Cuidados de Saúde e o Sindicato dos Trabalhadores do Setor de Serviços - SITESE e outro - Revisão global.</t>
  </si>
  <si>
    <t>CCT.20160808.170/2016</t>
  </si>
  <si>
    <t>SERVIÇOS DE SAÚDE; ATIVIDADES DE PRÁTICA CLÍNICA GERAL; ATIVIDADES MÉDICAS ESPECIALIZADAS</t>
  </si>
  <si>
    <t>FNS - Federação Nacional dos Prestadores de Cuidados de Saúde; Sindicato dos Trabalhadores do Setor de Serviços - SITESE; Sindicato dos Técnicos Superiores de Diagnóstico e Terapêutica - SINDITE</t>
  </si>
  <si>
    <t>302/2026</t>
  </si>
  <si>
    <t>Contrato coletivo entre a Associação Nacional das Indústrias de Vestuário, Confecção e Moda - ANIVEC/APIV e o Sindicato das Indústrias e Afins - SINDEQ - Alteração salarial e outras.</t>
  </si>
  <si>
    <t>BTE 17, 08/05/2024, pág. 25 (196/2024)</t>
  </si>
  <si>
    <t>VESTUÁRIO; INDÚSTRIA DO VESTUÁRIO; REMUNERAÇÕES; SUBSÍDIO DE REFEIÇÃO; CATEGORIA PROFISSIONAL; DEFINIÇÃO DE FUNÇÕES; ENQUADRAMENTO PROFISSIONAL</t>
  </si>
  <si>
    <t>Associação Nacional das Indústrias de Vestuário, Confecção e Moda - ANIVEC/APIV; Sindicato das Indústrias e Afins - SINDEQ</t>
  </si>
  <si>
    <t>303/2026</t>
  </si>
  <si>
    <t>Contrato coletivo entre a GROQUIFAR - Associação de Grossistas de Produtos Químicos e Farmacêuticos e a Federação Intersindical das Indústrias Metalúrgicas, Químicas, Eléctricas, Farmacêutica, Celulose, Papel, Gráfica, Imprensa, energia e Minas - FIEQUIMETAL - Alteração salarial e outras e texto consolidado.</t>
  </si>
  <si>
    <t>GROQUIFAR - Associação de Grossistas de Produtos Químicos e Farmacêuticos; Federação Intersindical das Indústrias Metalúrgicas, Químicas, Eléctricas, Farmacêutica, Celulose, Papel, Gráfica, Imprensa, energia e Minas - FIEQUIMETAL</t>
  </si>
  <si>
    <t>304/2026</t>
  </si>
  <si>
    <t>Contrato coletivo entre a GROQUIFAR - Associação de Grossistas de Produtos Químicos e Farmacêuticos e o Sindicato dos Trabalhadores do Setor de Serviços - SITESE (produtos químicos) - Alteração salarial e outras.</t>
  </si>
  <si>
    <t>BTE 33, 08/09/2024, pág. 108 (384/2024) e BTE 26, 15/07/2025, pág. 87 (331/2025)</t>
  </si>
  <si>
    <t>PRODUTOS QUÍMICOS; COMÉRCIO POR GROSSO DE PRODUTOS QUÍMICOS; REMUNERAÇÕES; ABONO PARA FALHAS; DIUTURNIDADES; SUBSÍDIO DE REFEIÇÃO; AJUDAS DE CUSTO; SEGURO DE ACIDENTES PESSOAIS; RETRIBUIÇÃO VARIÁVEL; RECLASSIFICAÇÃO PROFISSIONAL</t>
  </si>
  <si>
    <t>305/2026</t>
  </si>
  <si>
    <t>Contrato coletivo entre a Associação Nacional de Centros de Inspecção Automóvel (ANCIA) e o Sindicato da Construção, Obras Públicas e Serviços - SETACCOP e outro - Alteração salarial e outras.</t>
  </si>
  <si>
    <t>BTE 31, 22/08/2025, pág. 22 (374/2025)</t>
  </si>
  <si>
    <t>AUTOMÓVEIS E ACESSÓRIOS; ATIVIDADES DE ENSAIOS E ANÁLISES TÉCNICAS; REMUNERAÇÕES; FORMAÇÃO PROFISSIONAL; PERÍODO EXPERIMENTAL; FALTAS JUSTIFICADAS; SUBSÍDIO DE REFEIÇÃO</t>
  </si>
  <si>
    <t>Associação Nacional de Centros de Inspecção Automóvel (ANCIA); Sindicato da Construção, Obras Públicas e Serviços - SETACCOP; Sindicato dos Trabalhadores do Setor de Serviços - SITESE</t>
  </si>
  <si>
    <t>306/2026</t>
  </si>
  <si>
    <t>Acordo coletivo entre a Cooperativa Agro-Pecuária da Beira Central, CRL e outras e o Sindicato Nacional dos Trabalhadores da Agricultura, Floresta, Pesca, Turismo, Indústria Alimentar, Bebidas e Afins - SETAAB e outro - Revisão global.</t>
  </si>
  <si>
    <t>ACT.20250429.199/2025</t>
  </si>
  <si>
    <t>Cooperativa Agro-Pecuária da Beira Central, CRL; Cooperativa Agrícola de Condeixa-a-Nova e Penela, CRL; Cooperativa Agrícola de Sanfins, CRL; C.A.V. - Cooperativa Agrícola de Vouzela, CRL; Cooperativa Agrícola do Concelho de Ovar, CRL; Varzicoop - Cooperativa Agrícola da Póvoa de Varzim, CRL; Sindicato Nacional dos Trabalhadores da Agricultura, Floresta, Pesca, Turismo, Indústria Alimentar, Bebidas e Afins - SETAAB; Sindicato do Comércio, Escritórios e Serviços - SINDCES</t>
  </si>
  <si>
    <t>307/2026</t>
  </si>
  <si>
    <t>Contrato coletivo entre a Confederação Nacional das Instituições de Solidariedade - CNIS e a FNE - Federação Nacional da Educação e outros - Retificação.</t>
  </si>
  <si>
    <t>BTE 15, 22/04/2026, pág. 79 (158/2026)</t>
  </si>
  <si>
    <t>CCT-ALT.20260422.158/2026</t>
  </si>
  <si>
    <t>308/2026</t>
  </si>
  <si>
    <t>Acordo coletivo de trabalho n.º 40/2026 - Acordo coletivo de empregador público entre o Município de Viana do Castelo e o STAL - Sindicato Nacional dos Trabalhadores da Administração Local e Regional, Empresas Públicas, Concessionárias e Afins e outros.</t>
  </si>
  <si>
    <t>27</t>
  </si>
  <si>
    <t>Acordo Coletivo de Trabalho n.º 89/2019 - Diário da República n.º 106/2019, Série II de 2019-06-03</t>
  </si>
  <si>
    <t>Município de Viana do Castelo; STAL - Sindicato Nacional dos Trabalhadores da Administração Local e Regional, Empresas Públicas, Concessionárias e Afins; Sindicato Nacional dos Trabalhadores dos Serviços e de Entidades com Fins Públicos - STTS; Federação Nacional de Sindicatos Independentes da Administração Pública e de Entidades com Fins Públicos - FESINAP; Sindicato dos Trabalhadores em Funções Públicas e Sociais do Norte (STFPSN); Sindicato dos Trabalhadores da Administração Pública e de Entidades com Fins Públicos - SINTAP; Sindicato Nacional dos Bombeiros Profissionais (SNBP); SNBS - Sindicato Nacional dos Bombeiros Sapadores; Sindicato dos Quadros Técnicos do Estado e de Entidades com Fins Públicos - STE; STAE-ZN - Sindicato dos Trabalhadores de Apoio Educativo/Pessoal não Docente da Zona Norte; Sindicato Independente e Solidário dos Trabalhadores do Estado e Regimes Públicos - SISTERP; SINDEL - Sindicato Nacional da Indústria e da Energia; Sindicato dos Agentes Técnicos de Arquitectura e Engenharia - SATAE</t>
  </si>
  <si>
    <t>310/2026</t>
  </si>
  <si>
    <t>Portaria de extensão do contrato coletivo entre a Associação Nacional dos Centros de Abate e Indústrias Transformadoras de Carne de Aves (ANCAVE) e o Sindicato Nacional dos Trabalhadores da Agricultura, Floresta, Pesca, Turismo, Indústria Alimentar, Bebidas e Afins - SETAAB.</t>
  </si>
  <si>
    <t>BTE 9, 08/03/2026, pág. 136 (97/2026); Portaria n.º 290/2026/1, Diário da República n.º 130/2026, Série I de 2026-07-08</t>
  </si>
  <si>
    <t>CCT.20260309.97/2026</t>
  </si>
  <si>
    <t>311/2026</t>
  </si>
  <si>
    <t>Portaria de extensão das alterações do contrato coletivo entre a Associação Portuguesa das Indústrias de Cerâmica e de Cristalaria - APICER e o Sindicato Nacional dos Trabalhadores das Indústrias de Cerâmica, Cimentos, Abrasivos, Vidros e Similares, Construção Civil e Obras Públicas (SINTICAVS) - (indústria da cerâmica - pessoal fabril).</t>
  </si>
  <si>
    <t>BTE 7, 22/02/2026, pág. 33 (74/2026) Portaria n.º 294/2026/1, Diário da República n.º 130/2026, Série I de 2026-07-08</t>
  </si>
  <si>
    <t>CCT-ALT.20260223.74/2026</t>
  </si>
  <si>
    <t>CERÂMICA; FABRICAÇÃO DE PRODUTOS CERÂMICOS REFRATÁRIOS; FABRICAÇÃO DE PRODUTOS DE BARRO PARA A CONSTRUÇÃO; FABRICAÇÃO DE OUTROS PRODUTOS DE PORCELANA E CERÂMICA</t>
  </si>
  <si>
    <t>312/2026</t>
  </si>
  <si>
    <t>Portaria de extensão do contrato coletivo entre a Associação Comercial, Industrial e de Serviços de Bragança - ACISB e outras e o Sindicato Independente dos Trabalhadores do Comércio, Escritórios, Serviços, Restauração e Bebidas, e outros - SITCES.</t>
  </si>
  <si>
    <t>BTE 31, 22/08/2025, pág. 4 (373/2025) Portaria n.º 292/2026/1, Diário da República n.º 130/2026, Série I de 2026-07-08</t>
  </si>
  <si>
    <t>313/2026</t>
  </si>
  <si>
    <t>Portaria de extensão do contrato coletivo entre a Associação da Hotelaria de Portugal (AHP) e o Sindicato dos Trabalhadores do Setor de Serviços - SITESE.</t>
  </si>
  <si>
    <t>BTE 6, 15/02/2026, pág. 50 (62/2026) Portaria n.º 263/2026/1 - Diário da República n.º 112/2026, Série I de 2026-06-12 com Declaração de Retificação n.º 30-A/2026/1 - Diário da República n.º 154/2026, Suplemento, Série I de 2026-08-11</t>
  </si>
  <si>
    <t>CCT.20260216.62/2026</t>
  </si>
  <si>
    <t>314/2026</t>
  </si>
  <si>
    <t>Portaria de extensão do contrato coletivo entre a Associação da Hotelaria, Restauração e Similares de Portugal (AHRESP) e o Sindicato dos Trabalhadores do Setor de Serviços - SITESE (alojamento).</t>
  </si>
  <si>
    <t>BTE 6, 15/02/2026, pág. 84 (63/2026) Portaria n.º 291/2026/1, Diário da República n.º 130/2026, Série I de 2026-07-08</t>
  </si>
  <si>
    <t>CCT.20260216.63/2026</t>
  </si>
  <si>
    <t>HOTELARIA, ALOJAMENTO</t>
  </si>
  <si>
    <t>315/2026</t>
  </si>
  <si>
    <t>Portaria de extensão das alterações do contrato coletivo entre a Associação Portuguesa de Empresas Cinematográficas e o Sindicato Nacional dos Trabalhadores das Telecomunicações e Audiovisual - SINTTAV.</t>
  </si>
  <si>
    <t>BTE 2, 15/01/2024, pág. 65 (12/2024), BTE 1, 08/01/2025, pág. 24 (4/2025) e BTE 32, 29/08/2025, pág. 72 (387/2025) Portaria n.º 293/2026/1, Diário da República n.º 130/2026, Série I de 2026-07-08</t>
  </si>
  <si>
    <t>CCT-ALT.20250829.387/2025</t>
  </si>
  <si>
    <t>CINEMA; ATIVIDADES DE PÓS-PRODUÇÃO DE FILMES, DE VÍDEOS E DE PROGRAMAS DE TELEVISÃO; ATIVIDADES DE DISTRIBUIÇÃO DE FILMES E DE VÍDEOS; ATIVIDADES DE PROJEÇÃO DE FILMES; ATIVIDADES DE GRAVAÇÃO DE SOM E EDIÇÃO DE MÚSICA</t>
  </si>
  <si>
    <t>316/2026</t>
  </si>
  <si>
    <t>Contrato coletivo entre a Associação dos Comerciantes do Porto e outras e o CESP - Sindicato dos Trabalhadores do Comércio, Escritórios e Serviços de Portugal - Revisão global.</t>
  </si>
  <si>
    <t>CCT.20221024.276/2022</t>
  </si>
  <si>
    <t>CESP - Sindicato dos Trabalhadores do Comércio, Escritórios e Serviços de Portugal; Associação dos Comerciantes do Porto; Associação Comercial e Industrial do Concelho de Santo Tirso; Associação Empresarial do Concelho de Matosinhos; Associação Empresarial de Baião - AEB; AEMarco - Associação Empresarial do Marco de Canaveses; Associação Empresarial de Paços de Ferreira; Associação Empresarial da Maia - AEMAIA; Associação Empresarial de Amarante; Associação Comercial e Industrial do Concelho de Gondomar; Associação Empresarial da Póvoa de Varzim; Associação Empresarial de Penafiel - AEP; Associação Comercial e Industrial de Vila do Conde - ACIVC; Associação Comercial, Industrial e de Serviços de Vila Nova de Gaia</t>
  </si>
  <si>
    <t>317/2026</t>
  </si>
  <si>
    <t>Contrato coletivo entre a Associação dos Industriais Metalúrgicos, Metalomecânicos e Afins de Portugal - AIMMAP e o SINDEL - Sindicato Nacional da Indústria e da Energia - Alteração salarial e outra.</t>
  </si>
  <si>
    <t>BTE 19, 22/05/2024, pág. 11 (220/2024) com retificação BTE 32, 29/08/2024, pág. 194 (377/2024)</t>
  </si>
  <si>
    <t>Associação dos Industriais Metalúrgicos, Metalomecânicos e Afins de Portugal - AIMMAP; SINDEL - Sindicato Nacional da Indústria e da Energia</t>
  </si>
  <si>
    <t>318/2026</t>
  </si>
  <si>
    <t>Contrato coletivo entre a AEBRAGA - Associação Empresarial de Braga e outras e o CESMINHO - Sindicato dos Trabalhadores do Comércio, Escritórios e Serviços do Minho e outro - Alteração salarial e outras.</t>
  </si>
  <si>
    <t>BTE 36, 29/09/2024, pág. 80 (417/2024) e BTE 31, 22/08/2025, pág. 47 (375/2025)</t>
  </si>
  <si>
    <t>COMÉRCIO. BRAGA; COMÉRCIO POR GROSSO; COMÉRCIO A RETALHO; ATIVIDADES DE SALÕES DE CABELEIREIRO E BARBEIROS; ATIVIDADES DE CUIDADOS DE BELEZA E OUTRAS ATIVIDADES DE TRATAMENTOS DE BELEZA; ATIVIDADES FUNERÁRIAS E CONEXAS; REMUNERAÇÕES; TRABALHO AO DOMINGO, TRABALHO EM DIAS FERIADOS, SUBSÍDIO DE ALIMENTAÇÃO; DIUTURNIDADES; ABONO PARA FALHAS; AJUDAS DE CUSTO; SUBSÍDIO DE TRABALHADORES DE CARNES, PÃO DE ALIMENTAÇÃO; CURSO DE FORMAÇÃO, ALIMENTAÇÃO</t>
  </si>
  <si>
    <t>AEBRAGA - Associação Empresarial de Braga; Associação Comercial e Industrial de Vizela; Associação Comercial e Industrial de Vila Nova de Famalicão - ACIF; Associação Comercial, Industrial e Serviços de Barcelos e do Vale do Cávado - ACIBARCELOS; Associação Empresarial de Fafe, Cabeceiras de Basto e Celorico de Basto; CESMINHO - Sindicato dos Trabalhadores do Comércio, Escritórios e Serviços do Minho; CESP - Sindicato dos Trabalhadores do Comércio, Escritórios e Serviços de Portugal</t>
  </si>
  <si>
    <t>319/2026</t>
  </si>
  <si>
    <t>Contrato coletivo entre a União das Misericórdias Portuguesas - UMP e a FNE - Federação Nacional da Educação e outros - Alteração salarial e outras e texto consolidado.</t>
  </si>
  <si>
    <t>União das Misericórdias Portuguesas - UMP; FNE - Federação Nacional da Educação; Sindicato dos Técnicos Superiores de Diagnóstico e Terapêutica - SINDITE; Sindicato dos Trabalhadores dos Transportes - SITRA; Sindicato Nacional dos Profissionais da Educação - SINAPE; Sindicato dos Trabalhadores do Setor de Serviços - SITESE; Sindicato Nacional e Democrático dos Professores - SINDEP; Sindicato dos Trabalhadores da Administração Pública e de Entidades com Fins Públicos - SINTAP</t>
  </si>
  <si>
    <t>320/2026</t>
  </si>
  <si>
    <t>Acordo coletivo entre a OPERFOZ - Operadores do Porto da Figueira da Foz, L.da e outras e o Sindicato dos Trabalhadores Portuários da Figueira da Foz - SINPORFOZ - Alteração salarial e outras e texto consolidado.</t>
  </si>
  <si>
    <t>ACT-ALT.20250922.406/2025</t>
  </si>
  <si>
    <t>OPERFOZ - Operadores do Porto da Figueira da Foz, L.da; LISCONT - Operadores de Contentores, SA; FozEstiva - Empresa de Trabalho Portuário da Figueira da Foz - Associação; Sindicato dos Trabalhadores Portuários da Figueira da Foz - SINPORFOZ</t>
  </si>
  <si>
    <t>321/2026</t>
  </si>
  <si>
    <t>Acordo coletivo entre a Ageas Portugal - Companhia de Seguros de Vida, SA e outras e o Sindicato Nacional dos Profissionais de Seguros e Afins - SINAPSA e outro - Alteração salarial e outras.</t>
  </si>
  <si>
    <t>BTE 35, 22/09/2025, pág. 48 (407/2025)</t>
  </si>
  <si>
    <t>ACT-ALT.20250922.407/2025</t>
  </si>
  <si>
    <t>SEGUROS; SEGUROS DE VIDA, EXCETO OUTRAS ATIVIDADES COMPLEMENTARES DE SEGURANÇA SOCIAL; SEGUROS NÃO VIDA; ATIVIDADES DE GESTÃO DE FUNDOS; OUTRAS ATIVIDADES DE SERVIÇOS DE APOIO AOS NEGÓCIOS, N. E; REMUNERAÇÕES; DEFINIÇÃO DE RETRIBUIÇÃO; SUBSÍDIO ESCOLAR; SUBSÍDIO DE REFEIÇÃO; AJUDAS DE CUSTO; DESLOCAÇÕES</t>
  </si>
  <si>
    <t>Ageas Portugal - Companhia de Seguros de Vida, SA; Ageas Portugal - Companhia de Seguros, SA; Ageas Portugal Services, ACE; Ocidental - Companhia Portuguesa de Seguros de Vida, SA; Médis - Companhia Portuguesa de Seguros de Saúde, SA; AGEAS - Sociedade Gestora de Fundos de Pensões, SA; Sindicato Nacional dos Profissionais de Seguros e Afins - SINAPSA; Sindicato dos Trabalhadores da Actividade Seguradora (STAS)</t>
  </si>
  <si>
    <t>322/2026</t>
  </si>
  <si>
    <t>Acordo de empresa entre a Autoestrada do Algarve - Via do Infante - Sociedade Concessionária - AAVI, SA e o CESP - Sindicato dos Trabalhadores do Comércio, Escritórios e Serviços de Portugal - Revisão global.</t>
  </si>
  <si>
    <t>AE-ALT.20250623.298/2025</t>
  </si>
  <si>
    <t>Autoestrada do Algarve - Via do Infante - Sociedade Concessionária - AAVI, SA; CESP - Sindicato dos Trabalhadores do Comércio, Escritórios e Serviços de Portugal</t>
  </si>
  <si>
    <t>323/2026</t>
  </si>
  <si>
    <t>Acordo de empresa entre a CARRISTUR - Inovação em Transportes Urbanos e Regionais, Sociedade Unipessoal L.da e a Associação Sindical dos Trabalhadores da Carris e Participadas, (ASPTC) - Alteração salarial e outras.</t>
  </si>
  <si>
    <t>BTE 34, 15/09/2024, pág. 116 (402/2024) com retificação BTE 42, 15/11/2024, pág. 306 (501/2024) e BTE 30, 15/08/2025, pág. 243 (368/2025)</t>
  </si>
  <si>
    <t>AE.20240916.402/2024; AE-RECT.20241115.501/2024; AE-ALT.20250818.368/2025</t>
  </si>
  <si>
    <t>TRANSPORTES TERRESTRES; TRANSPORTE RODOVIÁRIO REGULAR, URBANO E SUBURBANO DE PASSAGEIROS; ESCOLAS DE CONDUÇÃO E PILOTAGEM; ORGANIZAÇÃO DE ATIVIDADES DE ANIMAÇÃO TURÍSTICA; REMUNERAÇÕES; FERIADOS; FÉRIAS; RETRIBUIÇÃO; FALTAS; ANUIDADES; SUBSÍDIO DE REFEIÇÃO; AVALIAÇÃO DO DESEMPENHO</t>
  </si>
  <si>
    <t>CARRISTUR - Inovação em Transportes Urbanos e Regionais, Sociedade Unipessoal L.da; Associação Sindical dos Trabalhadores da Carris e Participadas, (ASPTC)</t>
  </si>
  <si>
    <t>324/2026</t>
  </si>
  <si>
    <t>Acordo de empresa entre a CARRISTUR - Inovação em Transportes Urbanos e Regionais, Sociedade Unipessoal L.da e a Federação dos Sindicatos de Transportes e Comunicações - FECTRANS - Alteração salarial e outras.</t>
  </si>
  <si>
    <t>BTE 44, 29/11/2024, pág. 57 (521/2024) e BTE 30, 15/08/2025, pág. 248 (369/2025)</t>
  </si>
  <si>
    <t>AE-ALT.20250818.369/2025</t>
  </si>
  <si>
    <t>CARRISTUR - Inovação em Transportes Urbanos e Regionais, Sociedade Unipessoal L.da; Federação dos Sindicatos de Transportes e Comunicações - FECTRANS</t>
  </si>
  <si>
    <t>325/2026</t>
  </si>
  <si>
    <t>Acordo de empresa entre a CARRISTUR - Inovação em Transportes Urbanos e Regionais, Sociedade Unipessoal L.da e o Sindicato dos Trabalhadores dos Transportes - SITRA - Alteração salarial e outras.</t>
  </si>
  <si>
    <t>BTE 34, 15/09/2024, pág. 161 (403/2024) com retificação BTE 42, 15/11/2024, pág. 309 (502/2024) e BTE 30, 15/08/2025, pág. 253 (370/2025)</t>
  </si>
  <si>
    <t>AE.20240916.403/2024; AE-RECT.20241115.502/2024; AE-ALT.20250818.370/2025</t>
  </si>
  <si>
    <t>CARRISTUR - Inovação em Transportes Urbanos e Regionais, Sociedade Unipessoal L.da; Sindicato dos Trabalhadores dos Transportes - SITRA</t>
  </si>
  <si>
    <t>326/2026</t>
  </si>
  <si>
    <t>Acordo de empresa entre a CARRISTUR - Inovação em Transportes Urbanos e Regionais, Sociedade Unipessoal L.da e o Sindicato Nacional dos Motoristas e Outros Trabalhadores - SNMOT - Alteração salarial e outras.</t>
  </si>
  <si>
    <t>BTE 34, 15/09/2024, pág. 206 (404/2024) com retificação BTE 42, 15/11/2024, pág. 312 (503/2024) e BTE 30, 15/08/2025, pág. 258 (371/2025)</t>
  </si>
  <si>
    <t>AE.20240916.404/2024; AE-RECT.20241115.503/2024; AE-ALT.20250818.371/2025</t>
  </si>
  <si>
    <t>CARRISTUR - Inovação em Transportes Urbanos e Regionais, Sociedade Unipessoal L.da; Sindicato Nacional dos Motoristas e Outros Trabalhadores - SNMOT</t>
  </si>
  <si>
    <t>327/2026</t>
  </si>
  <si>
    <t>Acordo de empresa entre a Fundação INATEL e a FESAHT - Federação dos Sindicatos da Agricultura, Alimentação, Bebidas, Hotelaria e Turismo de Portugal - Alteração salarial e outras e texto consolidado.</t>
  </si>
  <si>
    <t>AE-ALT.20250609.272/2025</t>
  </si>
  <si>
    <t>HOTELARIA; HOTÉIS, EXCETO HOTÉIS RURAIS; ATIVIDADES DAS AGÊNCIAS DE VIAGENS</t>
  </si>
  <si>
    <t>Fundação INATEL; FESAHT - Federação dos Sindicatos da Agricultura, Alimentação, Bebidas, Hotelaria e Turismo de Portugal</t>
  </si>
  <si>
    <t>328/2026</t>
  </si>
  <si>
    <t>Acordo de empresa entre a Fundação INATEL e o Sindicato dos Trabalhadores da Administração Pública e de entidades com Fins Públicos - SINTAP - Alteração salarial e outras e texto consolidado.</t>
  </si>
  <si>
    <t>AE-ALT.20250609.273/2025</t>
  </si>
  <si>
    <t>Fundação INATEL; Sindicato dos Trabalhadores da Administração Pública e de Entidades com Fins Públicos - SINTAP</t>
  </si>
  <si>
    <t>329/2026</t>
  </si>
  <si>
    <t>Acordo de empresa entre a Fundação INATEL e o Sindicato dos Trabalhadores do Setor de Serviços - SITESE - Alteração salarial e outras e texto consolidado.</t>
  </si>
  <si>
    <t>AE-ALT.20250609.274/2025</t>
  </si>
  <si>
    <t>Fundação INATEL; Sindicato dos Trabalhadores do Setor de Serviços - SITESE</t>
  </si>
  <si>
    <t>330/2026</t>
  </si>
  <si>
    <t>Acordo de adesão entre a Agência de Gestão da Tesouraria e da Dívida Pública - IGCP, EPE e o Sindicato Nacional dos Quadros e Técnicos Bancários ao acordo coletivo entre várias instituições de crédito e a mesma associação sindical.</t>
  </si>
  <si>
    <t>BTE 29, 08/08/2016, pág. 2378 (176/2016), BTE 1, 08/01/2020, pág. 70 (5/2020), BTE 9, 08/03/2021, pág. 694 (55/2021), BTE 27, 22/07/2022, pág. 2933 (200/2022), BTE 13, 08/04/2024, pág. 180 (157/2024) e BTE 13, 08/04/2025, pág. 47 (143/2025)</t>
  </si>
  <si>
    <t>ACT-ALT.20250408.143/2025</t>
  </si>
  <si>
    <t>Agência de Gestão da Tesouraria e da Dívida Pública - IGCP, EPE; Sindicato Nacional dos Quadros e Técnicos Bancários</t>
  </si>
  <si>
    <t>331/2026</t>
  </si>
  <si>
    <t>Aviso sobre a data da cessação da vigência do contrato coletivo entre a Associação dos Transitários de Portugal - APAT e a Federação dos Sindicatos da Indústria e Serviços - FETESE.</t>
  </si>
  <si>
    <t>AV-CES-VIG</t>
  </si>
  <si>
    <t>BTE 1, 08/01/2005, pág. 80 (9/2005), BTE 10, 15/03/2006, pág. 886 (72/2006); BTE 7, 22/02/2007, pág. 367 (48/2007); BTE 8, 29/02/2008, pág. 576 (81/2008) e BTE 20, 29/05/2009, pág. 2173 (187/2009)</t>
  </si>
  <si>
    <t>CCT.20050111.9/2005; CCT-ALT.20060315.72/2006; CCT-ALT.20070222.48/2007; CCT-ALT.20080229.81/2008; CCT-ALT.20090529.187/2009</t>
  </si>
  <si>
    <t>AGENTES TRANSITÁRIOS; ATIVIDADES DOS SERVIÇOS DE LOGÍSTICA; OUTRAS ATIVIDADES DE APOIO AO TRANSPORTE, N. E.; ATIVIDADES DE SERVIÇOS DE INTERMEDIAÇÃO DOS TRANSPORTES DE MERCADORIAS, CESSAÇÃO DE VIGÊNCIA</t>
  </si>
  <si>
    <t>332/2026</t>
  </si>
  <si>
    <t>Aviso sobre a data da cessação da vigência do contrato coletivo entre a Associação dos Transitários de Portugal - APAT e o Sindicato dos Trabalhadores da Marinha Mercante, Agências de Viagens, Transitários e Pesca (SIMAMEVIP).</t>
  </si>
  <si>
    <t>BTE 1, 08/01/2005, pág. 53 (8/2005); BTE 10, 15/03/2006, pág. 888 (73/2006); BTE 7, 22/02/2007, pág. 366 (47/2007); BTE 6, 15/02/2008, pág. 387 (39/2008); BTE 19, 22/05/2009, pág. 1974 (170/2009)</t>
  </si>
  <si>
    <t>CCT.20050111.8/2005; CCT-ALT.20060315.73/2006; CCT-ALT.20070222.47/2007; CCT-ALT. 15/02/2008.39/2008; CCT-ALT.20090522.170/2009</t>
  </si>
  <si>
    <t>335/2026</t>
  </si>
  <si>
    <t>Portaria de condições de trabalho para trabalhadores administrativos.</t>
  </si>
  <si>
    <t>PCT-ALT</t>
  </si>
  <si>
    <t>28</t>
  </si>
  <si>
    <t>Portaria n.º 306/2026/1 - Diário da República n.º 140/2026, Série I de 2026-07-22</t>
  </si>
  <si>
    <t>PCT-ALT.20251008.427/2025</t>
  </si>
  <si>
    <t>PROFISSÕES. EMPREGADOS DE ESCRITÓRIO</t>
  </si>
  <si>
    <t>336/2026</t>
  </si>
  <si>
    <t>Portaria de extensão do contrato coletivo entre a ALIF - Associação Nacional da Indústria pelo Frio e Comércio de Produtos Alimentares e o Sindicato Nacional dos Trabalhadores da Agricultura, Floresta, Pesca, Turismo, Indústria Alimentar, Bebidas e Afins - SETAAB.</t>
  </si>
  <si>
    <t>BTE 11, 22/03/2026, pág. 71 (115/2026) Portaria n.º 305/2026/1 - Diário da República n.º 139/2026, Série I de 2026-07-21</t>
  </si>
  <si>
    <t>CCT.20260323.115/2026</t>
  </si>
  <si>
    <t>337/2026</t>
  </si>
  <si>
    <t>Contrato coletivo entre a Associação Portuguesa de Editores e Livreiros e o Sindicato dos Trabalhadores do Setor de Serviços - SITESE - Alteração salarial e outras/texto consolidado.</t>
  </si>
  <si>
    <t>Associação Portuguesa de Editores e Livreiros; Sindicato dos Trabalhadores do Setor de Serviços - SITESE</t>
  </si>
  <si>
    <t>338/2026</t>
  </si>
  <si>
    <t>Contrato coletivo entre a APROSE - Associação Nacional de Agentes e Corretores de Seguros e o Sindicato dos Trabalhadores da Actividade Seguradora (STAS) e outro - Alteração salarial e outras.</t>
  </si>
  <si>
    <t>BTE 19, 22/05/2024, pág. 53 (222/2024)</t>
  </si>
  <si>
    <t>ACTIVIDADES AUXILIARES DE SEGUROS E FUNDOS DE PENSÕES; AVALIAÇÃO DE RISCOS E DANOS; ATIVIDADES DE MEDIADORES DE SEGUROS; ATIVIDADES AUXILIARES DE SEGUROS E FUNDOS DE PENSÕES, N.E.; REMUNERAÇÕES; SUBSÍDIO DE REFEIÇÃO; DESLOCAÇÕES</t>
  </si>
  <si>
    <t>APROSE - Associação Nacional de Agentes e Corretores de Seguros; Sindicato dos Trabalhadores da Actividade Seguradora (STAS); Sindicato Nacional dos Profissionais de Seguros e Afins - SINAPSA</t>
  </si>
  <si>
    <t>339/2026</t>
  </si>
  <si>
    <t>Acordo de empresa entre a BIOTEK, SA e a Federação de Sindicatos da Indústria, Energia e Transportes - COFESINT e outros - Alteração salarial e outras.</t>
  </si>
  <si>
    <t>BTE 21, 08/06/2023, pág. 184 (246/2023) e BTE 31, 22/08/2024, pág. 183 (354/2024)</t>
  </si>
  <si>
    <t>AE-ALT.20240822.354/2024</t>
  </si>
  <si>
    <t>PASTA PAPEL E CARTÃO; FABRICAÇÃO DE PASTA; REMUNERAÇÕES; SUBSÍDIO DE TRANSFERÊNCIA DO LOCAL DE TRABALHO; TRABALHO SUPLEMENTAR; DIUTURNIDADES; ABONO PARA FALHAS; SUBSÍDIO DE REFEIÇÃO; TRABALHADOR ESTUDANTE; SUBSÍDIO DE MATERIAL ESCOLAR; CARREIRA PROFISSIONAL; ENQUADRAMENTO SALARIAL; CLÁUSULA DE SALVAGUARDA</t>
  </si>
  <si>
    <t>BIOTEK, SA; Federação de Sindicatos da Indústria, Energia e Transportes - COFESINT; FE - Federação dos Engenheiros; Sindicato das Indústrias Metalúrgicas e Afins - SIMA</t>
  </si>
  <si>
    <t>340/2026</t>
  </si>
  <si>
    <t>Acordo de empresa entre a Porto Santo Line - Transportes Marítimos, L.da e a Federação de Sindicatos dos Trabalhadores do Mar - FESMAR - Alteração salarial e outras.</t>
  </si>
  <si>
    <t>BTE 26, 15/07/2024, pág. 165 (303/2024) com retificação BTE 29, 08/08/2024, pág. 157 (335/2024) e BTE 18, 15/05/2025, pág. 199 (231/2025)</t>
  </si>
  <si>
    <t>AE-ALT.20250515.231/2025</t>
  </si>
  <si>
    <t>TRANSPORTES MARÍTIMOS; TRANSPORTES MARÍTIMOS DE MERCADORIAS; TRANSPORTES MARÍTIMOS NÃO COSTEIROS DE PASSAGEIROS; REMUNERAÇÕES; ALIMENTAÇÃO; ALIMENTAÇÃO A BORDO; DESLOCAÇÕES; AJUDAS DE CUSTO; SEGURO DE VIAGEM; ENQUADRAMENTO PROFISSIONAL</t>
  </si>
  <si>
    <t>Porto Santo Line - Transportes Marítimos, L.da; Federação de Sindicatos dos Trabalhadores do Mar - FESMAR</t>
  </si>
  <si>
    <t>341/2026</t>
  </si>
  <si>
    <t>Acordo de empresa entre a ViaPorto, Operação e Manutenção de Transportes, Unipessoal L.da e a Associação Sindical dos Profissionais do Comando e Controlo Ferroviário - APROFER - Alteração salarial e outras.</t>
  </si>
  <si>
    <t>BTE 33, 08/09/2019, pág. 3510 (316/2019) e BTE 14, 15/04/2023, pág. 137 (158/2023)</t>
  </si>
  <si>
    <t>AE-ALT.20230417.158/2023</t>
  </si>
  <si>
    <t>ACTIVIDADES AUXILIARES DOS TRANSPORTES TERRESTRES; GESTÃO DE INFRAESTRUTURAS DOS TRANSPORTES TERRESTRES; REMUNERAÇÕES; HORÁRIO DE TRABALHO; DIUTURNIDADES; SUBSÍDIO DE ALIMENTAÇÃO; PRÉMIO DE CONDUÇÃO; SUBSÍDIO DE TRANSPORTE; SUBSÍDIO DE FÉRIAS; SUBSÍDIO DE NATAL; PRÉMIO MENSAL</t>
  </si>
  <si>
    <t>ViaPorto, Operação e Manutenção de Transportes, Unipessoal L.da; Associação Sindical dos Profissionais do Comando e Controlo Ferroviário - APROFER</t>
  </si>
  <si>
    <t>342/2026</t>
  </si>
  <si>
    <t>Acordo de empresa entre a ViaPorto, Operação e Manutenção de Transportes, Unipessoal L.da e o STRUP - Sindicato dos Trabalhadores de Transportes Rodoviários e Urbanos de Portugal - Alteração salarial e outras.</t>
  </si>
  <si>
    <t>BTE 29, 08/08/2025, pág. 190 (357/2025)</t>
  </si>
  <si>
    <t>AE.20250808.357/2025</t>
  </si>
  <si>
    <t>ViaPorto, Operação e Manutenção de Transportes, Unipessoal L.da; STRUP - Sindicato dos Trabalhadores de Transportes Rodoviários e Urbanos de Portugal</t>
  </si>
  <si>
    <t>343/2026</t>
  </si>
  <si>
    <t>Acordo de empresa entre a ViaPorto, Operação e Manutenção de Transportes, Unipessoal L.da e o Sindicato dos Trabalhadores dos Transportes de Portugal - STTAMP - Alteração salarial e outras.</t>
  </si>
  <si>
    <t>BTE 31, 22/08/2019, pág. 3378 (302/2019) e BTE 13, 08/04/2023, pág. 402 (150/2023)</t>
  </si>
  <si>
    <t>AE-ALT.20230411.150/2023</t>
  </si>
  <si>
    <t>ViaPorto, Operação e Manutenção de Transportes, Unipessoal L.da; Sindicato dos Trabalhadores dos Transportes de Portugal - STTAMP</t>
  </si>
  <si>
    <t>344/2026</t>
  </si>
  <si>
    <t>Acordo de empresa entre a ViaPorto, Operação e Manutenção de Transportes, Unipessoal L.da e o Sindicato Independente dos Trabalhadores Ferroviários, das Infraestruturas e Afins - SINFA - Alteração salarial e outras.</t>
  </si>
  <si>
    <t>BTE 12, 29/03/2023, pág. 53 (121/2023) e BTE 25, 08/07/2023, pág. 186 (304/2023)</t>
  </si>
  <si>
    <t>AE-ALT.20230710.304/2023</t>
  </si>
  <si>
    <t>ViaPorto, Operação e Manutenção de Transportes, Unipessoal L.da; Sindicato Independente dos Trabalhadores Ferroviários, das Infraestruturas e Afins - SINFA</t>
  </si>
  <si>
    <t>345/2026</t>
  </si>
  <si>
    <t>Acordo de empresa entre a ViaPorto, Operação e Manutenção de Transportes, Unipessoal L.da e o Sindicato Nacional dos Maquinistas dos Caminhos de Ferro Portugueses - SMAQ - Alteração salarial e outras e texto consolidado.</t>
  </si>
  <si>
    <t>AE-ALT.20231115.491/2023</t>
  </si>
  <si>
    <t>ViaPorto, Operação e Manutenção de Transportes, Unipessoal L.da; Sindicato Nacional dos Maquinistas dos Caminhos de Ferro Portugueses - SMAQ</t>
  </si>
  <si>
    <t>346/2026</t>
  </si>
  <si>
    <t>Acordo de empresa entre a Santa Casa da Misericórdia de Lisboa - SCML e o Sindicato dos Fisioterapeutas Portugueses - SFP e outros - Alteração salarial e outras.</t>
  </si>
  <si>
    <t>BTE 48, 29/12/2023, pág. 135 (513/2023) com retificação BTE 17, 08/05/2024, pág. 202 (202/2024) e BTE 21, 08/06/2025, pág. 289 (277/2025)</t>
  </si>
  <si>
    <t>AE-ALT.20250609.277/2025</t>
  </si>
  <si>
    <t>INSTITUIÇÕES PARTICULARES DE SOLIDARIEDADE SOCIAL; OUTRAS ATIVIDADES DE AÇÃO SOCIAL SEM ALOJAMENTO, N. E.; ENSINO SUPERIOR; ATIVIDADES DOS ESTABELECIMENTOS DE SAÚDE COM INTERNAMENTO; REMUNERAÇÕES; DEVERES DA ENTIDADE EMPREGADORA; IGUALDADE DE OPORTUNIDADES; DISPENSA DE SERVIÇO; CARREIRA PROFISSIONAL</t>
  </si>
  <si>
    <t>Santa Casa da Misericórdia de Lisboa - SCML; Sindicato dos Fisioterapeutas Portugueses - SFP; Sindicato Nacional dos Trabalhadores das Telecomunicações e Audiovisual - SINTTAV; Sindicato Nacional dos Psicólogos; Sindicato dos Professores da Grande Lisboa - SPGL; Sindicato dos Trabalhadores em Funções Públicas e Sociais do Norte (STFPSN); Sindicato dos Trabalhadores em Funções Públicas e Sociais do Sul e Regiões Autónomas - STFPSSRA; Sindicato Nacional dos Técnicos Superiores de Saúde das Áreas de Diagnóstico e Terapêutica</t>
  </si>
  <si>
    <t>347/2026</t>
  </si>
  <si>
    <t>Contrato coletivo entre a Confederação Nacional das Instituições de Solidariedade - CNIS e a Federação Nacional dos Sindicatos dos Trabalhadores em Funções Públicas e Sociais - FNSTFPS - Retificação.</t>
  </si>
  <si>
    <t>BTE 21, 08/06/2026, pág. 51 (239/2026)</t>
  </si>
  <si>
    <t>CCT-ALT.20260608.239/2026</t>
  </si>
  <si>
    <t>348/2026</t>
  </si>
  <si>
    <t>Acórdão do Supremo Tribunal de Justiça - Recurso de Revista n.º 489/23.0T8CLD.C1.S1 (4.ª Secção) - «O procedimento de liquidação da retribuição do trabalhador, e de acordo com o estabelecido, conjuntamente, quer na cláusula 7.ª, n.ºs 1 e 3, do Acordo Temporário de Emergência (ATE) celebrado entre o Autor Sindicato Nacional do Pessoal de Voo da Aviação Civil - SNPVAC e a Ré Portugália - Companhia Portuguesa de Transportes Aéreos, SA, no dia 27 de fevereiro de 2021 e publicado no Boletim do Trabalho e Emprego (BTE), n.º 9, de 8 de março de 2021, quer nos artigos 276.º, n.º 3 e 279.º, n.º 2, alínea a) do CT, implicará observar, de forma sucessiva, a seguinte ordem de operações aritméticas e contabilísticas: a) Lançamento a crédito da retribuição bruta convencionada do trabalhador conforme tabela salarial em vigor. b) Lançamento a débito da redução salarial prevista no ATE; c) Lançamento a débito dos descontos que resultem de ausências ao trabalho com perda de retribuição; e, d) Lançamento a débito dos demais descontos legais, ou seja, designadamente, a retenção de imposto de rendimento e TSU.».</t>
  </si>
  <si>
    <t>ACORDÃO</t>
  </si>
  <si>
    <t>BTE 20, 29/05/2010, pág. 2230 (166/2010), BTE 22, 15/06/2018, pág. 1779 (157/2018) e BTE 9, 08/03/2021, pág. 878 (62/2021) Acórdão do Supremo Tribunal de Justiça n.º 5/2026 - Diário da República n.º 140/2026, Série I de 2026-07-22</t>
  </si>
  <si>
    <t>AE-ALT.20210308.62/2021</t>
  </si>
  <si>
    <t>TRANSPORTES AÉREOS; TRANSPORTES AÉREOS DE PASSAGEIROS; SITUAÇÃO ECONÓMICA DIFÍCIL; JURISPRUDÊNCIA; CONVENÇÃO COLETIVA DE TRABALHO; INTERPRETAÇÃO DO DIREITO; REMUNERAÇÕES</t>
  </si>
  <si>
    <t>349/2026</t>
  </si>
  <si>
    <t>Acordo coletivo de trabalho n.º 41/2026 - Acordo coletivo de empregador público entre o Município de Vieira do Minho e o STAL - Sindicato Nacional dos Trabalhadores da Administração Local e Regional, Empresas Públicas, Concessionárias e Afins.</t>
  </si>
  <si>
    <t>29</t>
  </si>
  <si>
    <t>Município de Vieira do Minho; STAL - Sindicato Nacional dos Trabalhadores da Administração Local e Regional, Empresas Públicas, Concessionárias e Afins</t>
  </si>
  <si>
    <t>350/2026</t>
  </si>
  <si>
    <t>Aviso n.º 8/2026 - Alteração ao Acordo Coletivo de Trabalho n.º 53/2022 entre o Município de Beja e o Sindicato dos Trabalhadores em Funções Públicas e Sociais do Sul e Regiões Autónomas - STFPSSRA.</t>
  </si>
  <si>
    <t>Acordo Coletivo de Trabalho n.º 53/2022 - Diário da República n.º 241/2022, Série II de 2022-12-16</t>
  </si>
  <si>
    <t>EMPREGO PÚBLICO; ADMINISTRAÇÃO LOCAL; FÉRIAS; DISPENSA DE SERVIÇO</t>
  </si>
  <si>
    <t>Município de Beja; Sindicato dos Trabalhadores em Funções Públicas e Sociais do Sul e Regiões Autónomas - STFPSSRA</t>
  </si>
  <si>
    <t>354/2026</t>
  </si>
  <si>
    <t>Portaria de extensão do contrato coletivo entre a Associação Nacional de Transportadores Públicos Rodoviários de Mercadorias - ANTRAM e outra e a Federação dos Sindicatos de Transportes e Comunicações - FECTRANS.</t>
  </si>
  <si>
    <t>BTE 9, 08/03/2026, pág. 87 (96/2026) Portaria n.º 316/2026/1 - Diário da República n.º 145/2026, Série I de 2026-07-29</t>
  </si>
  <si>
    <t>CCT.20260309.96/2026</t>
  </si>
  <si>
    <t>355/2026</t>
  </si>
  <si>
    <t>Contrato coletivo entre a ACISO - Associação Empresarial Ourém - Fátima e outras e o Sindicato dos Trabalhadores do Setor de Serviços - SITESE.</t>
  </si>
  <si>
    <t>COMÉRCIO. SANTARÉM; COMÉRCIO POR GROSSO; COMÉRCIO A RETALHO; ATIVIDADES DE SALÕES DE CABELEIREIRO E BARBEIROS; ATIVIDADES DE CUIDADOS DE BELEZA E OUTRAS ATIVIDADES DE TRATAMENTOS DE BELEZA; ATIVIDADES FUNERÁRIAS E CONEXAS</t>
  </si>
  <si>
    <t>ACISO - Associação Empresarial Ourém - Fátima; ACE - Associação Comercial e Empresarial de Abrantes, Constância, Sardoal, Mação e Vila de Rei; Associação Comercial Empresarial e Serviços dos Concelhos de Santarém, Almeirim, Alpiarça, Benavente, Cartaxo e Chamusca - ACES; ACITOFEBA - Associação Comercial e Industrial dos Municípios de Tomar, Ferreira do Zêzere e Vila Nova da Barquinha; Sindicato dos Trabalhadores do Setor de Serviços - SITESE</t>
  </si>
  <si>
    <t>356/2026</t>
  </si>
  <si>
    <t>Contrato coletivo entre a Confederação Nacional das Instituições de Solidariedade - CNIS e a FEPCES - Federação Portuguesa dos Sindicatos do Comércio, Escritórios e Serviços e outros - Alteração salarial e outras.</t>
  </si>
  <si>
    <t>BTE 33, 08/09/2025, pág. 50 (396/2025)</t>
  </si>
  <si>
    <t>INSTITUIÇÕES PARTICULARES DE SOLIDARIEDADE SOCIAL; REMUNERAÇÕES; TRABALHO AO DOMINGO; DESCANSO SEMANAL; FÉRIAS; DISPENSA DE SERVIÇO; ABONO PARA FALHAS; SUBSÍDIO DE REFEIÇÃO; DELEGADO SINDICAL; COMISSÃO PARITÁRIA; CATEGORIA PROFISSIONAL; DEFINIÇÃO DE FUNÇÕES; CONDIÇÕES DE ADMISSÃO; ENQUADRAMENTO SALARIAL</t>
  </si>
  <si>
    <t>Confederação Nacional das Instituições de Solidariedade - CNIS; FEPCES - Federação Portuguesa dos Sindicatos do Comércio, Escritórios e Serviços; Federação Nacional dos Professores - FENPROF; Federação dos Sindicatos de Transportes e Comunicações - FECTRANS; FESAHT - Federação dos Sindicatos da Agricultura, Alimentação, Bebidas, Hotelaria e Turismo de Portugal; Federação Portuguesa dos Sindicatos da Construção, Cerâmica e Vidro - FEVICCOM; Sindicato dos Enfermeiros Portugueses - SEP; Sindicato Nacional dos Psicólogos; SIFAP - Sindicato Nacional dos Profissionais de Farmácia e Paramédicos; Sindicato dos Trabalhadores da Saúde, Solidariedade e Segurança Social - STSSSS; Sindicato Nacional dos Técnicos Superiores de Saúde das Áreas de Diagnóstico e Terapêutica; Sindicato dos Fisioterapeutas Portugueses - SFP</t>
  </si>
  <si>
    <t>357/2026</t>
  </si>
  <si>
    <t>Contrato coletivo entre a FNOP - Associação Nacional das Organizações de Produtores de Frutas e Hortícolas e o Sindicato Nacional dos Trabalhadores da Agricultura, Floresta, Pesca, Turismo, Indústria Alimentar, Bebidas e Afins - SETAAB - Alteração salarial e outras.</t>
  </si>
  <si>
    <t>BTE 24, 29/06/2025, pág. 4 (302/2025)</t>
  </si>
  <si>
    <t>AGRICULTURA; AGRICULTURA, PRODUÇÃO ANIMAL, CAÇA E ATIVIDADES DOS SERVIÇOS RELACIONADOS; COMÉRCIO POR GROSSO DE CEREAIS, SEMENTES, LEGUMINOSAS, OLEAGINOSAS E OUTRAS MATÉRIAS-PRIMAS AGRÍCOLAS; COMÉRCIO POR GROSSO DE FRUTA E DE PRODUTOS HORTÍCOLAS, EXCETO BATATA; COMÉRCIO POR GROSSO DE PRODUTOS QUÍMICOS; REMUNERAÇÕES; SUBSÍDIO DE REFEIÇÃO; CATEGORIA PROFISSIONAL; DEFINIÇÃO DE FUNÇÕES; TRABALHO SAZONAL</t>
  </si>
  <si>
    <t>FNOP - Associação Nacional das Organizações de Produtores de Frutas e Hortícolas; Sindicato Nacional dos Trabalhadores da Agricultura, Floresta, Pesca, Turismo, Indústria Alimentar, Bebidas e Afins - SETAAB</t>
  </si>
  <si>
    <t>358/2026</t>
  </si>
  <si>
    <t>Contrato coletivo entre a Associação Nacional das Indústrias de Vestuário, Confecção e Moda - ANIVEC/APIV e a Federação dos Sindicatos dos Trabalhadores Têxteis, Lanifícios, Vestuário, Calçado e Peles de Portugal - FESETE - Alteração salarial e outras.</t>
  </si>
  <si>
    <t>BTE 18, 15/05/2024, pág. 81 (207/2024)</t>
  </si>
  <si>
    <t>CCT-ALT.20240515.207/2024</t>
  </si>
  <si>
    <t>VESTUÁRIO; INDÚSTRIA DO VESTUÁRIO; REMUNERAÇÕES; SUBSÍDIO DE REFEIÇÃO; SUBSÍDIO DE NATAL; CATEGORIA PROFISSIONAL; DEFINIÇÃO DE FUNÇÕES; ENQUADRAMENTO PROFISSIONAL</t>
  </si>
  <si>
    <t>Associação Nacional das Indústrias de Vestuário, Confecção e Moda - ANIVEC/APIV; Federação dos Sindicatos dos Trabalhadores Têxteis, Lanifícios, Vestuário, Calçado e Peles de Portugal - FESETE</t>
  </si>
  <si>
    <t>359/2026</t>
  </si>
  <si>
    <t>Contrato coletivo entre a Associação do Comércio e Serviços da Região do Algarve - ACRAL e o Sindicato dos Trabalhadores do Setor de Serviços - SITESE - Alteração salarial e outras e texto consolidado.</t>
  </si>
  <si>
    <t>CCT-ALT.20250808.353/2025</t>
  </si>
  <si>
    <t>COMÉRCIO. FARO; COMÉRCIO A RETALHO; REPARAÇÃO E MANUTENÇÃO DE TELEVISORES E OUTROS PRODUTOS SIMILARES DE ELETRÓNICA DE CONSUMO</t>
  </si>
  <si>
    <t>Associação do Comércio e Serviços da Região do Algarve - ACRAL; Sindicato dos Trabalhadores do Setor de Serviços - SITESE</t>
  </si>
  <si>
    <t>360/2026</t>
  </si>
  <si>
    <t>Acordo de empresa entre a Easyjet Airline Company Limited - Sucursal em Portugal e o SPAC - Sindicato dos Pilotos da Aviação Civil - Revisão global.</t>
  </si>
  <si>
    <t>AE.20231030.482/2023</t>
  </si>
  <si>
    <t>TRANSPORTES AÉREOS; TRANSPORTES AÉREOS DE PASSAGEIROS</t>
  </si>
  <si>
    <t>Easyjet Airline Company Limited - Sucursal em Portugal; SPAC - Sindicato dos Pilotos da Aviação Civil</t>
  </si>
  <si>
    <t>361/2026</t>
  </si>
  <si>
    <t>Acordo de empresa entre a Imprensa Nacional - Casa da Moeda, SA - INCM, SA e a Federação Intersindical das Indústrias Metalúrgicas, Químicas, Eléctricas, Farmacêutica, Celulose, Papel, Gráfica, Imprensa, Energia e Minas - FIEQUIMETAL - Alteração salarial e outras.</t>
  </si>
  <si>
    <t>BTE 30, 15/08/2024, pág. 79 (341/2024) e BTE 27, 22/07/2025, pág. 19 (337/2025)</t>
  </si>
  <si>
    <t>AE-ALT.20250722.337/2025</t>
  </si>
  <si>
    <t>IMPRESSÃO; OUTRA IMPRESSÃO; FABRICAÇÃO DE OUTROS PRODUTOS METÁLICOS DIVERSOS, N. E.; CUNHAGEM DE MOEDAS; FABRICAÇÃO DE ARTIGOS DE JOALHARIA E DE OUTROS ARTIGOS DE OURIVESARIA; REMUNERAÇÕES; SUBSÍDIO DE REFEIÇÃO; ABONO PARA FALHAS</t>
  </si>
  <si>
    <t>Imprensa Nacional - Casa da Moeda, SA - INCM, SA; Federação Intersindical das Indústrias Metalúrgicas, Químicas, Eléctricas, Farmacêutica, Celulose, Papel, Gráfica, Imprensa, Energia e Minas - FIEQUIMETAL</t>
  </si>
  <si>
    <t>362/2026</t>
  </si>
  <si>
    <t>Acordo de empresa entre a Imprensa Nacional - Casa da Moeda, SA - INCM, SA e o Sindicato dos Trabalhadores do Setor de Serviços - SITESE e outro - Alteração salarial e outras.</t>
  </si>
  <si>
    <t>BTE 30, 15/08/2024, pág. 133 (342/2024) e BTE 27, 22/07/2025, pág. 23 (338/2025)</t>
  </si>
  <si>
    <t>AE-ALT.20250722.338/2025</t>
  </si>
  <si>
    <t>Imprensa Nacional - Casa da Moeda, SA - INCM, SA; Sindicato dos Trabalhadores do Setor de Serviços - SITESE; SINDEL - Sindicato Nacional da Indústria e da Energia</t>
  </si>
  <si>
    <t>363/2026</t>
  </si>
  <si>
    <t>Acordo de empresa entre a Imprensa Nacional - Casa da Moeda, SA - INCM, SA e o Sindicato Nacional dos Trabalhadores das Telecomunicações e Audiovisual - SINTTAV - Alteração salarial e outras.</t>
  </si>
  <si>
    <t>BTE 30, 15/08/2024, pág. 186 (343/2024) e BTE 27, 22/07/2025, pág. 27 (339/2025)</t>
  </si>
  <si>
    <t>AE-ALT.20250722.339/2025</t>
  </si>
  <si>
    <t>Imprensa Nacional - Casa da Moeda, SA - INCM, SA; Sindicato Nacional dos Trabalhadores das Telecomunicações e Audiovisual - SINTTAV</t>
  </si>
  <si>
    <t>364/2026</t>
  </si>
  <si>
    <t>Acordo de adesão entre a Confederação Nacional das Instituições de Solidariedade - CNIS e o Sindicato Independente dos Trabalhadores do Comércio, Escritórios, Serviços, Restauração e Bebidas, e outros - SITCES ao contrato coletivo entre a mesma confederação de empregadores e a FNE - Federação Nacional da Educação e outros.</t>
  </si>
  <si>
    <t>BTE 30, 15/08/2025, pág. 30 (362/2025) com retificação BTE 43, 22/11/2025, pág. 155 (513/2025) e BTE 15, 22/04/2026, pág. 79 (158/2026)</t>
  </si>
  <si>
    <t>365/2026</t>
  </si>
  <si>
    <t>Acordo de adesão entre a Unidade Local de Saúde de Amadora/Sintra, EPE e o Sindicato Independente dos Profissionais de Enfermagem - SIPENF e outro aos acordos coletivos celebrados entre o Centro Hospitalar do Algarve, EPE e outros e as mesmas associações sindicais (instrumento parcelar e transitório aplicável aos trabalhadores enfermeiros em regime de contrato de trabalho) e entre o Centro Hospitalar do Algarve, EPE e outros e as mesmas associações sindicais (instrumento parcelar e transitório aplicável aos trabalhadores enfermeiros em regime de contrato de trabalho - Procedimento concursal e outras).</t>
  </si>
  <si>
    <t>16482; 16606</t>
  </si>
  <si>
    <t>BTE 43, 22/11/2015, pág. 3195 (231/2015) e BTE 11, 22/03/2018, pág. 635 (48/2018)</t>
  </si>
  <si>
    <t>ACT.20151123.231/2015; ACT.20180322.48/2018</t>
  </si>
  <si>
    <t>Unidade Local de Saúde de Amadora/Sintra, EPE; Sindicato Independente dos Profissionais de Enfermagem - SIPENF; Sindicato dos Enfermeiros - SE</t>
  </si>
  <si>
    <t>366/2026</t>
  </si>
  <si>
    <t>Acordo coletivo de trabalho n.º 42/2026 - Acordo coletivo de empregador público entre o Município de Avis e o STAL - Sindicato Nacional dos Trabalhadores da Administração Local e Regional, Empresas Públicas, Concessionárias e Afins.</t>
  </si>
  <si>
    <t>30</t>
  </si>
  <si>
    <t>Acordo Coletivo de Trabalho n.º 57/2017 - Diário da República n.º 216/2017, Série II de 2017-11-09</t>
  </si>
  <si>
    <t>Município de Avis; STAL - Sindicato Nacional dos Trabalhadores da Administração Local e Regional, Empresas Públicas, Concessionárias e Afins</t>
  </si>
  <si>
    <t>367/2026</t>
  </si>
  <si>
    <t>Aviso n.º 9/2026 - Alteração ao Acordo coletivo de trabalho n.º 43/2025 entre o Município de Alfândega da Fé e o Sindicato dos Trabalhadores da Administração Pública e de Entidades com Fins Públicos - SINTAP.</t>
  </si>
  <si>
    <t>Acordo Coletivo de Trabalho n.º 43/2025, de 22 de abril, Boletim do Trabalho e Emprego (BTE), n.º 15 (Volume 92), pág. 14</t>
  </si>
  <si>
    <t>Acordo Colectivo de Trabalho n.º 43/2025</t>
  </si>
  <si>
    <t>EMPREGO PÚBLICO; ADMINISTRAÇÃO LOCAL; MODALIDADES DE HORÁRIO DE TRABALHO; ISENÇÃO DE HORÁRIO DE TRABALHO</t>
  </si>
  <si>
    <t>Município de Alfândega da Fé; Sindicato dos Trabalhadores da Administração Pública e de Entidades com Fins Públicos - SINTAP</t>
  </si>
  <si>
    <t>368/2026</t>
  </si>
  <si>
    <t>Acordo de empresa entre a Companhia das Lezírias, SA e o Sindicato Nacional dos Trabalhadores da Agricultura, Floresta, Pesca, Turismo, Indústria Alimentar, Bebidas e Afins - SETAAB.</t>
  </si>
  <si>
    <t>AGRICULTURA; PRODUÇÕES AGRÍCOLA E ANIMAL COMBINADAS</t>
  </si>
  <si>
    <t>Companhia das Lezírias, SA; Sindicato Nacional dos Trabalhadores da Agricultura, Floresta, Pesca, Turismo, Indústria Alimentar, Bebidas e Afins - SETAAB</t>
  </si>
  <si>
    <t>369/2026</t>
  </si>
  <si>
    <t>Acordo de empresa entre a ETE - Fluvial, SA e a Federação de Sindicatos dos Trabalhadores do Mar - FESMAR.</t>
  </si>
  <si>
    <t>TRABALHO PORTUÁRIO; MANUSEAMENTO DE CARGA; TRANSPORTES DE MERCADORIAS POR VIAS NAVEGÁVEIS INTERIORES; ATIVIDADES AUXILIARES DOS TRANSPORTES POR ÁGUA</t>
  </si>
  <si>
    <t>ETE - Fluvial, SA; Federação de Sindicatos dos Trabalhadores do Mar - FESMAR</t>
  </si>
  <si>
    <t>370/2026</t>
  </si>
  <si>
    <t>Acordo de empresa entre a CTT Expresso - Serviços Postais e Logística, SA e o SINDETELCO - Sindicato Democrático dos Trabalhadores dos Correios, Telecomunicações, Media e Serviços e outros - Alteração salarial e outra e texto consolidado.</t>
  </si>
  <si>
    <t>AE-ALT.20250529.252/2025</t>
  </si>
  <si>
    <t>TRANSPORTES TERRESTRES; OUTRAS ATIVIDADES POSTAIS E DE CORREIOS, EXCETO ENTREGAS AO DOMICÍLIO SEM TRATAMENTO OU TRIAGEM</t>
  </si>
  <si>
    <t>CTT Expresso - Serviços Postais e Logística, SA; SINDETELCO - Sindicato Democrático dos Trabalhadores dos Correios, Telecomunicações, Media e Serviços; Sindicato Independente dos Trabalhadores da Informação e Comunicações - SITIC; SICTTEXPT - Sindicato Independente dos Correios, Telecomunicações, Transportes e Expresso de Portugal; Sindicato Nacional dos Trabalhadores dos Correios e Telecomunicações (SNTCT); Sindicato de Quadros das Comunicações (SINQUADROS); Sindicato Independente dos Correios de Portugal - SINCOR; SICOMP - Sindicato das Comunicações de Portugal; FENTCOP - Sindicato Nacional dos Transportes, Comunicações e Obras Públicas</t>
  </si>
  <si>
    <t>371/2026</t>
  </si>
  <si>
    <t>Acordo de empresa entre a Autoridade de Supervisão de Seguros e Fundos de Pensões (ASF) e o Sindicato dos Trabalhadores da Actividade Seguradora (STAS) e outro - Alteração salarial e outras.</t>
  </si>
  <si>
    <t>BTE 32, 29/08/2025, pág. 148 (389/2025)</t>
  </si>
  <si>
    <t>AE.20250829.389/2025</t>
  </si>
  <si>
    <t>SEGUROS; REGULAÇÃO E PROMOÇÃO DA EFICIÊNCIA DA ATIVIDADE ECONÓMICA; REMUNERAÇÕES; SUBSÍDIO ESCOLAR; AÇÃO SOCIAL; REFORMA ANTECIPADA; PRÉMIO DE ANTIGUIDADE; CATEGORIA PROFISSIONAL; DEFINIÇÃO DE FUNÇÕES; ENQUADRAMENTO SALARIAL; SUBSÍDIO DE REFEIÇÃO; DESLOCAÇÕES; PENSÃO DE REFORMA</t>
  </si>
  <si>
    <t>Autoridade de Supervisão de Seguros e Fundos de Pensões (ASF); Sindicato dos Trabalhadores da Actividade Seguradora (STAS); Sindicato Nacional dos Profissionais de Seguros e Afins - SINAPSA</t>
  </si>
  <si>
    <t>372/2026</t>
  </si>
  <si>
    <t>Acordo de empresa entre a Primemarineship, L.da e a Federação de Sindicatos dos Trabalhadores do Mar - FESMAR - Alteração salarial e outras.</t>
  </si>
  <si>
    <t>BTE 19, 22/05/2024, pág. 92 (227/2024)</t>
  </si>
  <si>
    <t>AE-ALT.20240522.227/2024</t>
  </si>
  <si>
    <t>TRANSPORTES MARÍTIMOS; ATIVIDADES DE CONSULTORIA PARA OS NEGÓCIOS E OUTRA CONSULTORIA PARA A GESTÃO; ATIVIDADES DAS EMPRESAS DE SELEÇÃO E COLOCAÇÃO DE PESSOAL; REMUNERAÇÕES; ISENÇÃO DE HORÁRIO DE TRABALHO; SUPLEMENTO DE EMBARQUE; FÉRIAS; SUBSÍDIO DE FÉRIAS; SUBSÍDIO DE NATAL</t>
  </si>
  <si>
    <t>Primemarineship, L.da; Federação de Sindicatos dos Trabalhadores do Mar - FESMAR</t>
  </si>
  <si>
    <t>373/2026</t>
  </si>
  <si>
    <t>Acordo de empresa entre a Santa Casa da Misericórdia de Lisboa - SCML e o SDPGL - Sindicato Democrático dos Professores da Grande Lisboa e Vale do Tejo e outros - Alteração salarial e outras.</t>
  </si>
  <si>
    <t>BTE 48, 29/12/2023, pág. 102 (512/2023) com retificação BTE 17, 08/05/2024, pág. 201 (201/2024) e BTE 24, 29/06/2025, pág. 220 (312/2025)</t>
  </si>
  <si>
    <t>AE-ALT.20250630.312/2025</t>
  </si>
  <si>
    <t>374/2026</t>
  </si>
  <si>
    <t>Acordo de adesão entre a Portway - Handling de Portugal, SA e o Sindicato dos Trabalhadores da Marinha Mercante, Agências de Viagens, Transitários e Pesca (SIMAMEVIP) ao acordo de empresa entre a mesma entidade empregadora e o Sindicato Democrático dos Trabalhadores dos Aeroportos e Aviação - SINDAV e outros.</t>
  </si>
  <si>
    <t>BTE 20, 29/05/2026, pág. 76 (232/2026)</t>
  </si>
  <si>
    <t>AE-ALT.20260529.232/2026</t>
  </si>
  <si>
    <t>Portway - Handling de Portugal, SA; Sindicato dos Trabalhadores da Marinha Mercante, Agências de Viagens, Transitários e Pesca (SIMAMEVIP)</t>
  </si>
  <si>
    <t>377/2026</t>
  </si>
  <si>
    <t>Contrato coletivo entre a Associação do Comércio e Serviços da Região do Algarve - ACRAL e o CESP - Sindicato dos Trabalhadores do Comércio, Escritórios e Serviços de Portugal e outros - Revisão global.</t>
  </si>
  <si>
    <t>31</t>
  </si>
  <si>
    <t>COMÉRCIO. FARO; COMÉRCIO A RETALHO; EDIÇÃO DE OUTROS PROGRAMAS INFORMÁTICOS; ATIVIDADES DE PROGRAMAÇÃO INFORMÁTICA; ATIVIDADES VETERINÁRIAS; ATIVIDADES DE SERVIÇOS ADMINISTRATIVOS E DE APOIO; ORGANIZAÇÃO E EXPLORAÇÃO DE LOTARIAS E OUTROS JOGOS DE APOSTA; ATIVIDADES DOS CENTROS DE MANUTENÇÃO FÍSICA; REPARAÇÃO E MANUTENÇÃO DE COMPUTADORES E DE EQUIPAMENTO PERIFÉRICO; ATIVIDADES DE SALÕES DE CABELEIREIRO E BARBEIROS; ATIVIDADES DE CUIDADOS DE BELEZA E OUTRAS ATIVIDADES DE TRATAMENTOS DE BELEZA; ATIVIDADES FUNERÁRIAS E CONEXAS</t>
  </si>
  <si>
    <t>Associação do Comércio e Serviços da Região do Algarve - ACRAL; CESP - Sindicato dos Trabalhadores do Comércio, Escritórios e Serviços de Portugal; STRUP - Sindicato dos Trabalhadores de Transportes Rodoviários e Urbanos de Portugal; Sindicato das Indústrias Eléctricas do Sul e Ilhas - SIESI; Sindicato Nacional dos Trabalhadores das Telecomunicações e Audiovisual - SINTTAV</t>
  </si>
  <si>
    <t>378/2026</t>
  </si>
  <si>
    <t>Contrato coletivo entre a Confederação Nacional das Instituições de Solidariedade - CNIS e a Federação Nacional dos Sindicatos dos Trabalhadores em Funções Públicas e Sociais - FNSTFPS - Alteração.</t>
  </si>
  <si>
    <t>BTE 39, 22/10/2025, pág. 11 (442/2025) e BTE 21, 08/06/2026, pág. 51 (239/2026)</t>
  </si>
  <si>
    <t>INSTITUIÇÕES PARTICULARES DE SOLIDARIEDADE SOCIAL; ABONO PARA FALHAS; SUBSÍDIO DE REFEIÇÃO</t>
  </si>
  <si>
    <t>379/2026</t>
  </si>
  <si>
    <t>Contrato coletivo entre a Associação das Empresas de Vinho do Porto (AEVP) e a FESAHT - Federação dos Sindicatos da Agricultura, Alimentação, Bebidas, Hotelaria e Turismo de Portugal (administrativos) - Alteração salarial e outra.</t>
  </si>
  <si>
    <t>BTE 3, 22/01/2025, pág. 21 (16/2025)</t>
  </si>
  <si>
    <t>CCT-ALT.20251209.520/2025</t>
  </si>
  <si>
    <t>VINHOS E BEBIDAS ESPIRITUOSAS; VITICULTURA; PRODUÇÃO DE VINHOS COMUNS E LICOROSOS; COMÉRCIO POR GROSSO DE BEBIDAS ALCOÓLICAS; REMUNERAÇÕES; SUBSÍDIO DE REFEIÇÃO</t>
  </si>
  <si>
    <t>Associação das Empresas de Vinho do Porto (AEVP); FESAHT - Federação dos Sindicatos da Agricultura, Alimentação, Bebidas, Hotelaria e Turismo de Portugal</t>
  </si>
  <si>
    <t>380/2026</t>
  </si>
  <si>
    <t>Contrato coletivo entre a Associação das Empresas de Vinho do Porto (AEVP) e a FESAHT - Federação dos Sindicatos da Agricultura, Alimentação, Bebidas, Hotelaria e Turismo de Portugal (armazéns) - Alteração salarial e outras.</t>
  </si>
  <si>
    <t>BTE 3, 22/01/2025, pág. 40 (17/2025)</t>
  </si>
  <si>
    <t>CCT-ALT.20251209.521/2025</t>
  </si>
  <si>
    <t>VINHOS E BEBIDAS ESPIRITUOSAS; VITICULTURA; PRODUÇÃO DE VINHOS COMUNS E LICOROSOS; COMÉRCIO POR GROSSO DE BEBIDAS ALCOÓLICAS; REMUNERAÇÕES; SUBSÍDIO DE REFEIÇÃO; AJUDAS DE CUSTO</t>
  </si>
  <si>
    <t>381/2026</t>
  </si>
  <si>
    <t>Contrato coletivo entre a Associação Comercial, Industrial e Serviços de Barcelos e do Vale do Cávado - ACIBARCELOS e outra e o Sindicato Independente dos Trabalhadores do Sector Empresarial da Cerâmica, dos Cimentos, do Vidro e Actividades Conexas dos Distritos de Braga, Porto e Viana do Castelo - Alteração salarial e outra/texto consolidado.</t>
  </si>
  <si>
    <t>CCT-ALT.20250708.317/2025</t>
  </si>
  <si>
    <t>CERÂMICA REGIONAL; OLARIA DE BARRO</t>
  </si>
  <si>
    <t>Associação Comercial, Industrial e Serviços de Barcelos e do Vale do Cávado - ACIBARCELOS; AEDVC - Associação Empresarial do Distrito de Viana do Castelo; Sindicato Independente dos Trabalhadores do Sector Empresarial da Cerâmica, dos Cimentos, do Vidro e Actividades Conexas dos Distritos de Braga, Porto e Viana do Castelo</t>
  </si>
  <si>
    <t>382/2026</t>
  </si>
  <si>
    <t>Acordo de empresa entre a Empresa Metropolitana de Estacionamento da Maia, EM e o Sindicato dos Trabalhadores da Administração Pública e de Entidades com Fins Públicos - SINTAP - Revisão global.</t>
  </si>
  <si>
    <t>AE.20230308.76/2023</t>
  </si>
  <si>
    <t>Empresa Metropolitana de Estacionamento da Maia, EM; Sindicato dos Trabalhadores da Administração Pública e de Entidades com Fins Públicos - SINTAP</t>
  </si>
  <si>
    <t>383/2026</t>
  </si>
  <si>
    <t>Acordo de empresa entre a IBERCOURIER - Serviço de Transporte Urgente, Unipessoal L.da e o Sindicato Nacional dos Trabalhadores dos Correios e Telecomunicações (SNTCT).</t>
  </si>
  <si>
    <t>IBERCOURIER - Serviço de Transporte Urgente, Unipessoal L.da; Sindicato Nacional dos Trabalhadores dos Correios e Telecomunicações (SNTCT)</t>
  </si>
  <si>
    <t>384/2026</t>
  </si>
  <si>
    <t>Acordo de empresa entre a AWP P&amp;C, SA - Sucursal em Portugal e o Sindicato dos Trabalhadores da Actividade Seguradora (STAS) - Alteração salarial e outras.</t>
  </si>
  <si>
    <t>BTE 41, 08/11/2024, pág. 118 (486/2024) e BTE 20, 29/05/2025, pág. 120 (253/2025)</t>
  </si>
  <si>
    <t>AE-ALT.20250529.253/2025</t>
  </si>
  <si>
    <t>SEGUROS; RESSEGUROS; REMUNERAÇÕES; ESTÁGIO PROFISSIONAL; PROMOÇÃO PROFISSIONAL; TELETRABALHO; PRÉMIO DE PERCURSO; SUBSÍDIO DE TRANSPORTE; SUBSÍDIO ESCOLAR; CATEGORIA PROFISSIONAL; DEFINIÇÃO DE FUNÇÕES; SUBSÍDIO DE REFEIÇÃO</t>
  </si>
  <si>
    <t>AWP P&amp;C, SA - Sucursal em Portugal; Sindicato dos Trabalhadores da Actividade Seguradora (STAS)</t>
  </si>
  <si>
    <t>385/2026</t>
  </si>
  <si>
    <t>Acordo de empresa entre a AP Solutions GMBH - Sucursal em Portugal e o Sindicato dos Trabalhadores da Actividade Seguradora (STAS) - Alteração salarial e outras.</t>
  </si>
  <si>
    <t>BTE 4, 29/01/2025, pág. 244 (33/2025) e BTE 19, 22/05/2025, pág. 126 (247/2025)</t>
  </si>
  <si>
    <t>AE-ALT.20250522.247/2025</t>
  </si>
  <si>
    <t>SEGUROS; ATIVIDADES DOS CENTROS DE CHAMADAS; ATIVIDADES DE CONSULTORIA PARA OS NEGÓCIOS E OUTRA CONSULTORIA PARA A GESTÃO; REMUNERAÇÕES; ESTÁGIO PROFISSIONAL; PROMOÇÃO PROFISSIONAL; TELETRABALHO; PRÉMIO DE PERCURSO; SUBSÍDIO DE TRANSPORTE; SUBSÍDIO ESCOLAR; CATEGORIA PROFISSIONAL; DEFINIÇÃO DE FUNÇÕES; SUBSÍDIO DE REFEIÇÃO</t>
  </si>
  <si>
    <t>AP Solutions GMBH - Sucursal em Portugal; Sindicato dos Trabalhadores da Actividade Seguradora (STAS)</t>
  </si>
  <si>
    <t>386/2026</t>
  </si>
  <si>
    <t>Acordo de empresa entre a COPEFAP - Cooperativa de Ensino, CRL e o Sindicato dos Professores da Grande Lisboa - SPGL e outros - Alteração salarial e outras.</t>
  </si>
  <si>
    <t>BTE 23, 22/06/2025, pág. 252 (301/2025)</t>
  </si>
  <si>
    <t>AE-ALT.20250623.301/2025</t>
  </si>
  <si>
    <t>FORMAÇÃO PROFISSIONAL; REMUNERAÇÕES; SUBSÍDIO DE FUNÇÃO; SUBSÍDIO DE REFEIÇÃO</t>
  </si>
  <si>
    <t>COPEFAP - Cooperativa de Ensino, CRL; Sindicato dos Professores da Grande Lisboa - SPGL; CESP - Sindicato dos Trabalhadores do Comércio, Escritórios e Serviços de Portugal; Sindicato Nacional dos Psicólogos</t>
  </si>
  <si>
    <t>387/2026</t>
  </si>
  <si>
    <t>Acordo de empresa entre a CARRISTUR - Inovação em Transportes Urbanos e Regionais, Sociedade Unipessoal L.da e a Associação Sindical dos Trabalhadores da Carris e Participadas, (ASPTC) - Retificação.</t>
  </si>
  <si>
    <t>BTE 27, 22/07/2026, pág. 222 (323/2026)</t>
  </si>
  <si>
    <t>AE-ALT.20260722.323/2026</t>
  </si>
  <si>
    <t>TRANSPORTES TERRESTRES; TRANSPORTE RODOVIÁRIO REGULAR, URBANO E SUBURBANO DE PASSAGEIROS; ESCOLAS DE CONDUÇÃO E PILOTAGEM; ORGANIZAÇÃO DE ATIVIDADES DE ANIMAÇÃO TURÍSTICA</t>
  </si>
  <si>
    <t>388/2026</t>
  </si>
  <si>
    <t>Acordo de empresa entre a CARRISTUR - Inovação em Transportes Urbanos e Regionais, Sociedade Unipessoal L.da e a Federação dos Sindicatos de Transportes e Comunicações - FECTRANS - Retificação.</t>
  </si>
  <si>
    <t>BTE 27, 22/07/2026, pág. 228 (324/2026)</t>
  </si>
  <si>
    <t>AE-ALT.20260722.324/2026</t>
  </si>
  <si>
    <t>389/2026</t>
  </si>
  <si>
    <t>Acordo de empresa entre a CARRISTUR - Inovação em Transportes Urbanos e Regionais, Sociedade Unipessoal L.da e o Sindicato dos Trabalhadores dos Transportes - SITRA - Retificação.</t>
  </si>
  <si>
    <t>BTE 27, 22/07/2026, pág. 235 (325/2026)</t>
  </si>
  <si>
    <t>AE-ALT.20260722.325/2026</t>
  </si>
  <si>
    <t>390/2026</t>
  </si>
  <si>
    <t>Acordo de empresa entre a CARRISTUR - Inovação em Transportes Urbanos e Regionais, Sociedade Unipessoal L.da e o Sindicato Nacional dos Motoristas e Outros Trabalhadores - SNMOT - Retificação.</t>
  </si>
  <si>
    <t>BTE 27, 22/07/2026, pág. 241 (326/2026)</t>
  </si>
  <si>
    <t>AE-ALT.20260722.326/2026</t>
  </si>
  <si>
    <t>391/2026</t>
  </si>
  <si>
    <t>Acordo coletivo de trabalho n.º 43/2026 - Acordo coletivo de empregador público entre o Município de Cabeceiras de Basto e o STAL - Sindicato Nacional dos Trabalhadores da Administração Local e Regional, Empresas Públicas, Concessionárias e Afins e outros.</t>
  </si>
  <si>
    <t>32</t>
  </si>
  <si>
    <t>Acordo Coletivo de Trabalho n.º 148/2016 - Diário da República n.º 21/2016, Série II de 2016-02-01</t>
  </si>
  <si>
    <t>Município de Cabeceiras de Basto; STAL - Sindicato Nacional dos Trabalhadores da Administração Local e Regional, Empresas Públicas, Concessionárias e Afins; Sindicato Nacional das Polícias Municipais - SNPM; Sindicato dos Trabalhadores da Administração Pública e de Entidades com Fins Públicos - SINTAP; Sindicato dos Trabalhadores em Funções Públicas e Sociais do Norte (STFPSN)</t>
  </si>
  <si>
    <t>392/2026</t>
  </si>
  <si>
    <t>Acordo coletivo de trabalho n.º 44/2026 - Acordo coletivo de empregador público entre a Freguesia de Alcantarilha e o STAL - Sindicato Nacional dos Trabalhadores da Administração Local e Regional, Empresas Públicas, Concessionárias e Afins.</t>
  </si>
  <si>
    <t>Freguesia de Alcantarilha; STAL - Sindicato Nacional dos Trabalhadores da Administração Local e Regional, Empresas Públicas, Concessionárias e Afins</t>
  </si>
  <si>
    <t>393/2026</t>
  </si>
  <si>
    <t>Contrato coletivo entre a Associação Nacional dos Industriais de Lacticínios (ANIL) e outras e a FESAHT - Federação dos Sindicatos da Agricultura, Alimentação, Bebidas, Hotelaria e Turismo de Portugal e outros - Revisão global.</t>
  </si>
  <si>
    <t>CCT-ALT.20250808.351/2025</t>
  </si>
  <si>
    <t>LACTICÍNIOS; INDÚSTRIA DE LATICÍNIOS</t>
  </si>
  <si>
    <t>Associação Nacional dos Industriais de Lacticínios (ANIL); AGROS - União das Cooperativas de Produtores de Leite de Entre Douro e Minho e Trás-os-Montes, UCRL; PROLEITE - Cooperativa Agrícola de Produtores de Leite, CRL; FESAHT - Federação dos Sindicatos da Agricultura, Alimentação, Bebidas, Hotelaria e Turismo de Portugal; Federação dos Sindicatos de Transportes e Comunicações - FECTRANS; Sindicato dos Fogueiros, Energia e Indústrias Transformadoras - SIFOMATE</t>
  </si>
  <si>
    <t>394/2026</t>
  </si>
  <si>
    <t>Contrato coletivo entre a Associação das Empresas de Vinho do Porto (AEVP) e o Sindicato Nacional dos Trabalhadores da Indústria e Comércio de Alimentação, Bebidas e Afins - Alteração salarial e outras.</t>
  </si>
  <si>
    <t>BTE 3, 22/01/2025, pág. 60 (18/2025)</t>
  </si>
  <si>
    <t>Associação das Empresas de Vinho do Porto (AEVP); Sindicato Nacional dos Trabalhadores da Indústria e Comércio de Alimentação, Bebidas e Afins</t>
  </si>
  <si>
    <t>395/2026</t>
  </si>
  <si>
    <t>Acordo coletivo entre a Auto-Estradas do Atlântico - Concessões Rodoviárias de Portugal, SA e outra e o Sindicato da Construção, Obras Públicas e Serviços - SETACCOP e outros - Alteração salarial e outras e texto consolidado.</t>
  </si>
  <si>
    <t>ACT-ALT.20250722.336/2025</t>
  </si>
  <si>
    <t>CONSTRUÇÃO E OBRAS PÚBLICAS; GESTÃO DE INFRAESTRUTURAS DOS TRANSPORTES TERRESTRES; OUTRAS ATIVIDADES AUXILIARES DOS TRANSPORTES TERRESTRES</t>
  </si>
  <si>
    <t>Auto-Estradas do Atlântico - Concessões Rodoviárias de Portugal, SA; Geira, SA; Sindicato da Construção, Obras Públicas e Serviços - SETACCOP; FEPCES - Federação Portuguesa dos Sindicatos do Comércio, Escritórios e Serviços; SINDEL - Sindicato Nacional da Indústria e da Energia</t>
  </si>
  <si>
    <t>396/2026</t>
  </si>
  <si>
    <t>Acordo de empresa entre a AGERE - Empresa de Águas, Efluentes e Resíduos de Braga, EM e o Sindicato dos Trabalhadores da Administração Pública e de Entidades com Fins Públicos - SINTAP e outro - Alteração salarial e outras/texto consolidado.</t>
  </si>
  <si>
    <t>AE-ALT.20250508.214/2025</t>
  </si>
  <si>
    <t>ABASTECIMENTO DE ÁGUA; CAPTAÇÃO E TRATAMENTO DE ÁGUA; DISTRIBUIÇÃO DE ÁGUA; RECOLHA E DRENAGEM DE ÁGUAS RESIDUAIS; TRATAMENTO DE ÁGUAS RESIDUAIS; RECOLHA DE OUTROS RESÍDUOS NÃO PERIGOSOS; CONSTRUÇÃO DE OUTRAS OBRAS DE ENGENHARIA CIVIL, N.E.</t>
  </si>
  <si>
    <t>AGERE - Empresa de Águas, Efluentes e Resíduos de Braga, EM; Sindicato dos Trabalhadores da Administração Pública e de Entidades com Fins Públicos - SINTAP; STAL - Sindicato Nacional dos Trabalhadores da Administração Local e Regional, Empresas Públicas, Concessionárias e Afins</t>
  </si>
  <si>
    <t>397/2026</t>
  </si>
  <si>
    <t>Acordo de empresa entre a Abanca Portugal, SA e o Sindicato Independente da Banca - Alteração salarial e outras.</t>
  </si>
  <si>
    <t>BTE 12, 29/03/2020, pág. 1468 (69/2020)</t>
  </si>
  <si>
    <t>AE.20200330.69/2020</t>
  </si>
  <si>
    <t>INSTITUIÇÕES DE CRÉDITO; OUTRA INTERMEDIAÇÃO MONETÁRIA; REMUNERAÇÕES; SUBSÍDIO DE REFEIÇÃO; DIUTURNIDADES; DESLOCAÇÕES; ABONO PARA FALHAS; CRÉDITO A HABITAÇÃO; INDEMNIZAÇÃO POR MORTE; ACIDENTE DE TRABALHO; SUBSÍDIO DE NASCIMENTO; SUBSÍDIO INFANTIL; SUBSÍDIO DE ESTUDO; SUBSÍDIO A TRABALHADOR ESTUDANTE; ASSISTÊNCIA MÉDICA</t>
  </si>
  <si>
    <t>Abanca Portugal, SA; Sindicato Independente da Banca</t>
  </si>
  <si>
    <t>398/2026</t>
  </si>
  <si>
    <t>399/2026</t>
  </si>
  <si>
    <t>Portaria de extensão do contrato coletivo entre a Associação Nacional de Comerciantes e Industriais de Produtos Alimentares (ANCIPA) e o Sindicato Nacional dos Trabalhadores da Agricultura, Floresta, Pesca, Turismo, Indústria Alimentar, Bebidas e Afins - SETAAB (indústria de batata frita, aperitivos e similares).</t>
  </si>
  <si>
    <t>33</t>
  </si>
  <si>
    <t>BTE 10, 15/03/2026, pág. 22 (106/2026) Portaria n.º 386/2026/1 - Diário da República n.º 165/2026, Série I de 2026-08-26</t>
  </si>
  <si>
    <t>CCT.20260316.106/2026</t>
  </si>
  <si>
    <t>400/2026</t>
  </si>
  <si>
    <t>Portaria de extensão do contrato coletivo entre a Associação Nacional de Comerciantes e Industriais de Produtos Alimentares (ANCIPA) e o Sindicato Nacional dos Trabalhadores da Agricultura, Floresta, Pesca, Turismo, Indústria Alimentar, Bebidas e Afins - SETAAB (indústria de hortofrutícolas).</t>
  </si>
  <si>
    <t>BTE 10, 15/03/2026, pág. 51 (107/2026) Portaria n.º 388/2026/1 - Diário da República n.º 165/2026, Série I de 2026-08-26</t>
  </si>
  <si>
    <t>CCT.20260316.107/2026</t>
  </si>
  <si>
    <t>401/2026</t>
  </si>
  <si>
    <t>BTE 15, 22/04/2026, pág. 97 (161/2026) Portaria n.º 392/2026/1 - Diário da República n.º 165/2026, Série I de 2026-08-26</t>
  </si>
  <si>
    <t>CCT-ALT.20260422.161/2026</t>
  </si>
  <si>
    <t>402/2026</t>
  </si>
  <si>
    <t>Portaria de extensão das alterações do acordo coletivo entre a Águas do Norte, SA e outras e o SIEAP - Sindicato das Indústrias Energias Serviços e Águas de Portugal.</t>
  </si>
  <si>
    <t>BTE 12, 29/03/2026, pág. 55 (126/2026) Portaria n.º 390/2026/1 - Diário da República n.º 165/2026, Série I de 2026-08-26</t>
  </si>
  <si>
    <t>ACT-ALT.20260330.126/2026</t>
  </si>
  <si>
    <t>403/2026</t>
  </si>
  <si>
    <t>Portaria de extensão das alterações do acordo coletivo entre a Águas do Norte, SA e outras e o STAL - Sindicato Nacional dos Trabalhadores da Administração Local e Regional, Empresas Públicas, Concessionárias e Afins e outra.</t>
  </si>
  <si>
    <t>BTE 12, 29/03/2026, pág. 113 (128/2026) Portaria n.º 393/2026/1 - Diário da República n.º 165/2026, Série I de 2026-08-26</t>
  </si>
  <si>
    <t>ACT-ALT.20260330.128/2026</t>
  </si>
  <si>
    <t>404/2026</t>
  </si>
  <si>
    <t>BTE 33, 08/09/2024, pág. 137 (385/2024), BTE 21, 08/06/2025, pág. 111 (266/2025) e BTE 15, 22/04/2026, pág. 147 (165/2026) Portaria n.º 387/2026/1 - Diário da República n.º 165/2026, Série I de 2026-08-26</t>
  </si>
  <si>
    <t>CCT-ALT.20240909.385/2024; CCT-ALT.20250609.266/2025; CCT-ALT.20260422.165/2026</t>
  </si>
  <si>
    <t>405/2026</t>
  </si>
  <si>
    <t>Portaria de extensão das alterações do contrato coletivo entre a Associação dos Transitários de Portugal - APAT e o Sindicato dos Trabalhadores da Marinha Mercante, Agências de Viagens, Transitários e Pesca (SIMAMEVIP).</t>
  </si>
  <si>
    <t>BTE 11, 22/03/2026, pág. 121 (117/2026) Portaria n.º 389/2026/1 - Diário da República n.º 165/2026, Série I de 2026-08-26</t>
  </si>
  <si>
    <t>CCT-ALT.20260323.117/2026</t>
  </si>
  <si>
    <t>AGENTES TRANSITÁRIOS; ATIVIDADES DOS SERVIÇOS DE LOGÍSTICA; OUTRAS ATIVIDADES DE APOIO AO TRANSPORTE, N. E.; ATIVIDADES DE SERVIÇOS DE INTERMEDIAÇÃO DOS TRANSPORTES DE MERCADORIAS</t>
  </si>
  <si>
    <t>406/2026</t>
  </si>
  <si>
    <t>Portaria de extensão do acordo coletivo entre a Companhia de Seguros Allianz Portugal, SA e outras e o Sindicato dos Trabalhadores da Actividade Seguradora (STAS) e outro.</t>
  </si>
  <si>
    <t>BTE 10, 15/03/2026, pág. 107 (110/2026) Portaria n.º 385/2026/1 - Diário da República n.º 165/2026, Série I de 2026-08-26</t>
  </si>
  <si>
    <t>ACT.20260316.110/2026</t>
  </si>
  <si>
    <t>407/2026</t>
  </si>
  <si>
    <t>BTE 12, 29/03/2026, pág. 11 (124/2026) Portaria n.º 391/2026/1 - Diário da República n.º 165/2026, Série I de 2026-08-26</t>
  </si>
  <si>
    <t>CCT.20260330.124/2026</t>
  </si>
  <si>
    <t>408/2026</t>
  </si>
  <si>
    <t>Contrato coletivo entre a APCOR - Associação Portuguesa da Cortiça e o Sindicato das Indústrias e Afins - SINDEQ e outro (pessoal fabril) - Alteração salarial e outras e texto consolidado.</t>
  </si>
  <si>
    <t>CCT-ALT.20231016.465/2023; CCT-ALT.20250818.364/2025</t>
  </si>
  <si>
    <t>APCOR - Associação Portuguesa da Cortiça; Sindicato das Indústrias e Afins - SINDEQ; Sindicato dos Operários Corticeiros do Norte</t>
  </si>
  <si>
    <t>409/2026</t>
  </si>
  <si>
    <t>Contrato coletivo entre a Associação Nacional de Revendedores de Energia, Combustíveis, Estações de Serviço, Estacionamentos e Lavagens Automóveis - ANAREC e a FEPCES - Federação Portuguesa dos Sindicatos do Comércio, Escritórios e Serviços e outros - Alteração salarial e outras.</t>
  </si>
  <si>
    <t>BTE 18, 15/05/2024, pág. 47 (206/2024) e BTE 36, 29/09/2025, pág. 59 (418/2025)</t>
  </si>
  <si>
    <t>REVENDA DE COMBUSTÍVEIS; COMÉRCIO A RETALHO DE COMBUSTÍVEL PARA VEÍCULOS A MOTOR; COMÉRCIO A RETALHO DE COMBUSTÍVEIS PARA USO DOMÉSTICO; REMUNERAÇÕES; CATEGORIA PROFISSIONAL; DEFINIÇÃO DE FUNÇÕES; SUBSÍDIO DE REFEIÇÃO</t>
  </si>
  <si>
    <t>Associação Nacional de Revendedores de Energia, Combustíveis, Estações de Serviço, Estacionamentos e Lavagens Automóveis - ANAREC; FEPCES - Federação Portuguesa dos Sindicatos do Comércio, Escritórios e Serviços; Federação dos Sindicatos de Transportes e Comunicações - FECTRANS; Sindicato dos Trabalhadores do Setor de Serviços - SITESE</t>
  </si>
  <si>
    <t>410/2026</t>
  </si>
  <si>
    <t>Acordo de empresa entre a Santa Casa da Misericórdia de Lisboa - SCML e o Sindicato Independente dos Médicos - SIM e outro - Alteração salarial e outras e texto consolidado.</t>
  </si>
  <si>
    <t>AE-ALT.20250508.216/2025</t>
  </si>
  <si>
    <t>Santa Casa da Misericórdia de Lisboa - SCML; Sindicato Independente dos Médicos - SIM; Sindicato dos Médicos da Zona Sul (SMZS)</t>
  </si>
  <si>
    <t>411/2026</t>
  </si>
  <si>
    <t>Contrato coletivo entre a Associação Portuguesa de Editores e Livreiros e o Sindicato dos Trabalhadores do Setor de Serviços - SITESE - Retificação.</t>
  </si>
  <si>
    <t>BTE 28, 29/07/2026, pág. 42 (337/2026)</t>
  </si>
  <si>
    <t>CCT-ALT.20260729.337/2026</t>
  </si>
  <si>
    <t>412/2026</t>
  </si>
  <si>
    <t>Acordo de empresa entre a Fundação INATEL e a FESAHT - Federação dos Sindicatos da Agricultura, Alimentação, Bebidas, Hotelaria e Turismo de Portugal - Retificação.</t>
  </si>
  <si>
    <t>BTE 27, 22/07/2026, pág. 247 (327/2026)</t>
  </si>
  <si>
    <t>AE-ALT.20260722.327/2026</t>
  </si>
  <si>
    <t>413/2026</t>
  </si>
  <si>
    <t>Acordo de empresa entre a Fundação INATEL e o Sindicato dos Trabalhadores da Administração Pública e de Entidades com Fins Públicos - SINTAP - Retificação.</t>
  </si>
  <si>
    <t>BTE 27, 22/07/2026, pág. 300 (328/2026)</t>
  </si>
  <si>
    <t>AE-ALT.20260722.328/2026</t>
  </si>
  <si>
    <t>414/2026</t>
  </si>
  <si>
    <t>Acordo de empresa entre a Fundação INATEL e o Sindicato dos Trabalhadores do Setor de Serviços - SITESE - Retificação.</t>
  </si>
  <si>
    <t>BTE 27, 22/07/2026, pág. 352 (329/2026)</t>
  </si>
  <si>
    <t>AE-ALT.20260722.329/2026</t>
  </si>
  <si>
    <t>415/2026</t>
  </si>
  <si>
    <t>Acordo coletivo de trabalho n.º 45/2026 - Acordo coletivo de empregador público entre o Conselho Superior dos Tribunais Administrativos e Fiscais e o Sindicato dos Quadros Técnicos do Estado e de Entidades com Fins Públicos - STE.</t>
  </si>
  <si>
    <t>34</t>
  </si>
  <si>
    <t>EMPREGO PÚBLICO; ATIVIDADES DE JUSTIÇA</t>
  </si>
  <si>
    <t>Conselho Superior dos Tribunais Administrativos e Fiscais; Sindicato dos Quadros Técnicos do Estado e de Entidades com Fins Públicos - STE</t>
  </si>
  <si>
    <t>416/2026</t>
  </si>
  <si>
    <t>Portaria de extensão do contrato coletivo entre a Confederação Nacional das Instituições de Solidariedade - CNIS e a FNE - Federação Nacional da Educação e outros.</t>
  </si>
  <si>
    <t>BTE 30, 15/08/2025, pág. 30 (362/2025) com retificação BTE 43, 22/11/2025, pág. 155 (513/2025) e BTE 15, 22/04/2026, pág. 79 (158/2026) Portaria n.º 425/2026/1 - Diário da República n.º 174/2026, Série I de 2026-09-08</t>
  </si>
  <si>
    <t>CCT.20250818.362/2025; CCT-RECT.20251124.513/2025; CCT-ALT.20260422.158/2026</t>
  </si>
  <si>
    <t>417/2026</t>
  </si>
  <si>
    <t>BTE 15, 22/04/2026, pág. 53 (157/2026) Portaria n.º 423/2026/1 - Diário da República n.º 174/2026, Série I de 2026-09-08</t>
  </si>
  <si>
    <t>CCT.20260422.157/2026</t>
  </si>
  <si>
    <t>418/2026</t>
  </si>
  <si>
    <t>Portaria de extensão das alterações do contrato coletivo entre a Associação Nacional dos Industriais de Lacticínios (ANIL) e outras e o Sindicato dos Profissionais de Lacticínios, Alimentação, Agricultura, Escritórios, Comércio, Serviços, Transportes Rodoviários, Metalomecânica, Metalurgia, Construção Civil e Madeiras.</t>
  </si>
  <si>
    <t>BTE 20, 29/05/2026, pág. 24 (230/2026) Portaria n.º 411/2026/1 - Diário da República n.º 173/2026, Série I de 2026-09-07</t>
  </si>
  <si>
    <t>CCT-ALT.20260529.230/2026</t>
  </si>
  <si>
    <t>419/2026</t>
  </si>
  <si>
    <t>Portaria de extensão do acordo coletivo entre a LACTICOOP - União de Cooperativas de Produtores de Leite de Entre Douro e Mondego, UCRL e outra e o Sindicato Nacional dos Trabalhadores da Agricultura, Floresta, Pesca, Turismo, Indústria Alimentar, Bebidas e Afins - SETAAB.</t>
  </si>
  <si>
    <t>BTE 15, 22/04/2026, pág. 176 (167/2026) Portaria n.º 405/2026/1 - Diário da República n.º 173/2026, Série I de 2026-09-07</t>
  </si>
  <si>
    <t>ACT.20260422.167/2026</t>
  </si>
  <si>
    <t>420/2026</t>
  </si>
  <si>
    <t>Portaria de extensão do acordo coletivo entre a LACTICOOP - União de Cooperativas de Produtores de Leite de Entre Douro e Mondego, UCRL e outra e o STRUP - Sindicato dos Trabalhadores de Transportes Rodoviários e Urbanos de Portugal.</t>
  </si>
  <si>
    <t>BTE 10, 15/03/2026, pág. 87 (109/2026) Portaria n.º 406/2026/1 - Diário da República n.º 173/2026, Série I de 2026-09-07</t>
  </si>
  <si>
    <t>ACT.20260316.109/2026</t>
  </si>
  <si>
    <t>421/2026</t>
  </si>
  <si>
    <t>BTE 18, 15/05/2026, pág. 62 (208/2026) Portaria n.º 410/2026/1 - Diário da República n.º 173/2026, Série I de 2026-09-07</t>
  </si>
  <si>
    <t>CCT-ALT.20260515.208/2026</t>
  </si>
  <si>
    <t>422/2026</t>
  </si>
  <si>
    <t>BTE 22, 15/06/2026, pág. 88 (249/2026) Portaria n.º 412/2026/1 - Diário da República n.º 173/2026, Série I de 2026-09-07</t>
  </si>
  <si>
    <t>CCT-ALT.20260615.249/2026</t>
  </si>
  <si>
    <t>423/2026</t>
  </si>
  <si>
    <t>Portaria de extensão das alterações do contrato coletivo entre a Associação Portuguesa da Indústria Farmacêutica - APIFARMA e o Sindicato dos Trabalhadores do Setor de Serviços - SITESE e outros.</t>
  </si>
  <si>
    <t>BTE 15, 22/04/2026, pág. 134 (162/2026) Portaria n.º 413/2026/1 - Diário da República n.º 173/2026, Série I de 2026-09-07</t>
  </si>
  <si>
    <t>CCT-ALT.20260422.162/2026</t>
  </si>
  <si>
    <t>PRODUTOS FARMACÊUTICOS; FABRICAÇÃO DE PRODUTOS FARMACÊUTICOS DE BASE; FABRICAÇÃO DE MEDICAMENTOS; FABRICAÇÃO DE OUTRAS PREPARAÇÕES E DE ARTIGOS FARMACÊUTICOS</t>
  </si>
  <si>
    <t>424/2026</t>
  </si>
  <si>
    <t>BTE 23, 22/06/2026, pág. 53 (259/2026) Portaria n.º 414/2026/1 - Diário da República n.º 173/2026, Série I de 2026-09-07</t>
  </si>
  <si>
    <t>CCT-ALT.20260622.259/2026</t>
  </si>
  <si>
    <t>425/2026</t>
  </si>
  <si>
    <t>Portaria de extensão das alterações do acordo coletivo entre a Águas do Norte, SA e outras e o SINDEL - Sindicato Nacional da Indústria e da Energia e outro.</t>
  </si>
  <si>
    <t>BTE 12, 29/03/2026, pág. 59 (127/2026) Portaria n.º 407/2026/1 - Diário da República n.º 173/2026, Série I de 2026-09-07</t>
  </si>
  <si>
    <t>ACT-ALT.20260330.127/2026</t>
  </si>
  <si>
    <t>426/2026</t>
  </si>
  <si>
    <t>BTE 18, 15/05/2026, pág. 92 (209/2026) Portaria n.º 415/2026/1 - Diário da República n.º 173/2026, Série I de 2026-09-07</t>
  </si>
  <si>
    <t>CCT-ALT.20260515.209/2026</t>
  </si>
  <si>
    <t>427/2026</t>
  </si>
  <si>
    <t>Portaria de extensão das alterações do contrato coletivo entre a ACIFF - Associação Comercial e Industrial da Figueira da Foz - Associação Empresarial Regional e o CESP - Sindicato dos Trabalhadores do Comércio, Escritórios e Serviços de Portugal.</t>
  </si>
  <si>
    <t>BTE 18, 15/05/2026, pág. 134 (212/2026) Portaria n.º 409/2026/1 - Diário da República n.º 173/2026, Série I de 2026-09-07</t>
  </si>
  <si>
    <t>CCT-ALT.20260515.212/2026</t>
  </si>
  <si>
    <t>428/2026</t>
  </si>
  <si>
    <t>BTE 23, 22/06/2026, pág. 117 (265/2026) Portaria n.º 408/2026/1 - Diário da República n.º 173/2026, Série I de 2026-09-07</t>
  </si>
  <si>
    <t>CCT-ALT.20260622.265/2026</t>
  </si>
  <si>
    <t>429/2026</t>
  </si>
  <si>
    <t>Portaria de extensão das alterações do contrato coletivo entre a União das Mutualidades Portuguesas e a FNE - Federação Nacional da Educação e outros.</t>
  </si>
  <si>
    <t>BTE 17, 08/05/2026, pág. 59 (192/2026) Portaria n.º 416/2026/1 - Diário da República n.º 173/2026, Série I de 2026-09-07</t>
  </si>
  <si>
    <t>CCT-ALT.20260508.192/2026</t>
  </si>
  <si>
    <t>430/2026</t>
  </si>
  <si>
    <t>BTE 12, 29/03/2026, pág. 33 (125/2026) Portaria n.º 424/2026/1 - Diário da República n.º 174/2026, Série I de 2026-09-08</t>
  </si>
  <si>
    <t>CCT.20260330.125/2026</t>
  </si>
  <si>
    <t>431/2026</t>
  </si>
  <si>
    <t>Contrato coletivo entre a FENAME - Federação Nacional do Metal e o Sindicato dos Trabalhadores do Setor de Serviços - SITESE e outros - Alteração salarial e outra/texto consolidado.</t>
  </si>
  <si>
    <t>FENAME - Federação Nacional do Metal; Sindicato dos Trabalhadores do Setor de Serviços - SITESE; SINDEL - Sindicato Nacional da Indústria e da Energia; FE - Federação dos Engenheiros; Sindicato das Indústrias Metalúrgicas e Afins - SIMA</t>
  </si>
  <si>
    <t>432/2026</t>
  </si>
  <si>
    <t>Contrato coletivo entre a Liga Portuguesa de Futebol Profissional e o Sindicato dos Jogadores Profissionais de Futebol - Alteração salarial.</t>
  </si>
  <si>
    <t>BTE 29, 08/08/2025, pág. 133 (355/2025)</t>
  </si>
  <si>
    <t>CCT-ALT.20250808.355/2025</t>
  </si>
  <si>
    <t>DESPORTOS; ORGANISMOS REGULADORES DAS ATIVIDADES DESPORTIVAS; REMUNERAÇÕES</t>
  </si>
  <si>
    <t>Liga Portuguesa de Futebol Profissional; Sindicato dos Jogadores Profissionais de Futebol</t>
  </si>
  <si>
    <t>433/2026</t>
  </si>
  <si>
    <t>Acordo de empresa entre a NORMAX - Fábrica de Vidros Científicos, L.da e a Federação Portuguesa dos Sindicatos da Construção, Cerâmica e Vidro - FEVICCOM - Alteração salarial e outra.</t>
  </si>
  <si>
    <t>BTE 39, 22/10/2025, pág. 89 (443/2025)</t>
  </si>
  <si>
    <t>AE.20251022.443/2025</t>
  </si>
  <si>
    <t>VIDREIRA; FABRICAÇÃO E PROCESSAMENTO DE OUTRO VIDRO (INCLUINDO VIDRO TÉCNICO); FABRICAÇÃO DE VIDRO DE EMBALAGEM; REMUNERAÇÕES; SUBSÍDIO DE REFEIÇÃO</t>
  </si>
  <si>
    <t>NORMAX - Fábrica de Vidros Científicos, L.da; Federação Portuguesa dos Sindicatos da Construção, Cerâmica e Vidro - FEVICCOM</t>
  </si>
  <si>
    <t>434/2026</t>
  </si>
  <si>
    <t>Acordo de empresa entre a MUDUM - Companhia de Seguros, SA e o Sindicato dos Trabalhadores da Actividade Seguradora (STAS) - Alteração salarial e outras.</t>
  </si>
  <si>
    <t>BTE 28, 29/07/2024, pág. 147 (323/2024) e BTE 23, 22/06/2025, pág. 249 (300/2025)</t>
  </si>
  <si>
    <t>AE-ALT.20250623.300/2025</t>
  </si>
  <si>
    <t>SEGUROS; SEGUROS NÃO VIDA; REMUNERAÇÕES; FÉRIAS; SUBSÍDIO DE REFEIÇÃO; SUBSÍDIO ESCOLAR; SUBSÍDIO ESPECIAL A TRABALHADORES COM FILHOS DEFICIENTES; SUBSÍDIO DE NASCIMENTO; DELEGADO SINDICAL; DESLOCAÇÕES</t>
  </si>
  <si>
    <t>MUDUM - Companhia de Seguros, SA; Sindicato dos Trabalhadores da Actividade Seguradora (STAS)</t>
  </si>
  <si>
    <t>437/2026</t>
  </si>
  <si>
    <t>Acordo de empresa entre a Infralobo - Empresa de Infra-Estruturas de Vale do Lobo, EM e o Sindicato dos Trabalhadores da Administração Pública e de Entidades com Fins Públicos - SINTAP.</t>
  </si>
  <si>
    <t>35</t>
  </si>
  <si>
    <t>ABASTECIMENTO DE ÁGUA; RECOLHA DE OUTROS RESÍDUOS NÃO PERIGOSOS; DISTRIBUIÇÃO DE ÁGUA; RECOLHA E DRENAGEM DE ÁGUAS RESIDUAIS; OUTRAS ATIVIDADES DE LIMPEZA, N. E.</t>
  </si>
  <si>
    <t>Infralobo - Empresa de Infra-Estruturas de Vale do Lobo, EM; Sindicato dos Trabalhadores da Administração Pública e de Entidades com Fins Públicos - SINTAP</t>
  </si>
  <si>
    <t>438/2026</t>
  </si>
  <si>
    <t>Acordo de empresa entre a Parmalat Portugal Produtos Alimentares, L.da e a Federação Intersindical das Indústrias Metalúrgicas, Químicas, Eléctricas, Farmacêutica, Celulose, Papel, Gráfica, Imprensa, Energia e Minas - FIEQUIMETAL - Alteração salarial e outras/texto consolidado.</t>
  </si>
  <si>
    <t>AE-ALT.20230922.431/2023</t>
  </si>
  <si>
    <t>LACTICÍNIOS; INDÚSTRIA DE LATICÍNIOS; FABRICAÇÃO DE SUMOS DE FRUTOS E DE PRODUTOS HORTÍCOLAS; FABRICAÇÃO DE REFRIGERANTES E DE OUTRAS BEBIDAS NÃO ALCOÓLICAS, N. E.</t>
  </si>
  <si>
    <t>Parmalat Portugal Produtos Alimentares, L.da; Federação Intersindical das Indústrias Metalúrgicas, Químicas, Eléctricas, Farmacêutica, Celulose, Papel, Gráfica, Imprensa, Energia e Minas - FIEQUIMETAL</t>
  </si>
  <si>
    <t>439/2026</t>
  </si>
  <si>
    <t>Acordo coletivo de trabalho n.º 46/2026 - Acordo coletivo de empregador público entre a Freguesia de Loures e o Sindicato dos Trabalhadores da Administração Pública e de Entidades com Fins Públicos - SINTAP.</t>
  </si>
  <si>
    <t>36</t>
  </si>
  <si>
    <t>Freguesia de Loures; Sindicato dos Trabalhadores da Administração Pública e de Entidades com Fins Públicos - SINTAP</t>
  </si>
  <si>
    <t>440/2026</t>
  </si>
  <si>
    <t xml:space="preserve">Contrato coletivo entre a APHORT - Associação Portuguesa de Hotelaria, Restauração e Turismo e o Sindicato dos Trabalhadores do Setor de Serviços - SITESE - Revisão global. </t>
  </si>
  <si>
    <t>APHORT - Associação Portuguesa de Hotelaria, Restauração e Turismo; Sindicato dos Trabalhadores do Setor de Serviços - SITESE</t>
  </si>
  <si>
    <t>441/2026</t>
  </si>
  <si>
    <t>Acordo coletivo entre a BP Portugal - Comércio de Combustíveis e Lubrificantes, SA e outras e a Federação de Sindicatos da Indústria, Energia e Transportes - COFESINT e outros - Alteração.</t>
  </si>
  <si>
    <t>ACT-ALT.20260629.281/2026</t>
  </si>
  <si>
    <t>PETRÓLEO; FABRICAÇÃO DE PRODUTOS PETROLÍFEROS REFINADOS; FABRICAÇÃO DE OUTROS PRODUTOS QUÍMICOS DIVERSOS, N. E.; COMÉRCIO POR GROSSO DE PRODUTOS PETROLÍFEROS; SUBSÍDIO DE PREVENÇÃO; DESLOCAÇÕES; SUBSÍDIO DE ALIMENTAÇÃO; SUBSÍDIO DE TURNO; SUBSÍDIO DE HORÁRIO MÓVEL; SUBSÍDIO DE HORÁRIO DESFASADO; SUBSÍDIO DE CASAMENTO; SUBSÍDIO DE GOC; SUBSÍDIO DE LAVAGEM DE ROUPA; ABONO PARA FALHAS; SUBSÍDIO DE CONDUÇÃO ISOLADA; ISENÇÃO DE HORÁRIO DE TRABALHO; DIUTURNIDADES; TRANSPORTE DE MERCADORIAS PERIGOSAS; SEGURO DE ACIDENTES PESSOAIS; COMPARTICIPAÇÃO EM INTERNAMENTO HOSPITALAR OU REEDUCATIVO; SUBSÍDIO ESPECIAL A TRABALHADORES COM FILHOS DEFICIENTES</t>
  </si>
  <si>
    <t>442/2026</t>
  </si>
  <si>
    <t>Acordo de empresa entre a Rivadvice Management, Unipessoal L.da e a Federação de Sindicatos dos Trabalhadores do Mar - FESMAR.</t>
  </si>
  <si>
    <t>EXCURSÕES MARÍTIMAS TURÍSTICAS; TRANSPORTES DE PASSAGEIROS POR VIAS NAVEGÁVEIS INTERIORES, PARA FINS TURÍSTICOS</t>
  </si>
  <si>
    <t>Rivadvice Management, Unipessoal L.da; Federação de Sindicatos dos Trabalhadores do Mar - FESMAR</t>
  </si>
  <si>
    <t>443/2026</t>
  </si>
  <si>
    <t>Acordo de empresa entre a SILOTAGUS, SA e a FEPCES - Federação Portuguesa dos Sindicatos do Comércio, Escritórios e Serviços - Alteração salarial e outras.</t>
  </si>
  <si>
    <t>BTE 17, 08/05/2025, pág. 177 (215/2025)</t>
  </si>
  <si>
    <t>AE-ALT.20250508.215/2025</t>
  </si>
  <si>
    <t>ARMAZENAGEM; MANUSEAMENTO DE CARGA; REMUNERAÇÕES; RETRIBUIÇÃO DO TRABALHO SUPLEMENTAR; ABONO PARA FALHAS; AJUDAS DE CUSTO; SUBSÍDIO DE MATERIAL ESCOLAR; ANUIDADES; SUBSÍDIO DE POLUIÇÃO; SUBSÍDIO DE REFEIÇÃO; SUBSÍDIO DE TURNO; SUBSÍDIO DE REFEIÇÃO EM TRABALHO EXTRAORDINÁRIO; SUBSÍDIO DE LIMPEZA DE CÉLULAS; SUBSÍDIO DE PREVENÇÃO</t>
  </si>
  <si>
    <t>SILOTAGUS, SA (anteriormente outorgado pela SILOPOR - Empresa de Silos Portuários, SA - Em Liquidação); FEPCES - Federação Portuguesa dos Sindicatos do Comércio, Escritórios 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</si>
</sst>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&quot;.pdf&quot;"/>
  </numFmts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17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right"/>
    </xf>
    <xf numFmtId="14" fontId="2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164" fontId="2" fillId="0" borderId="0" xfId="0" applyNumberFormat="1" applyFont="1"/>
    <xf numFmtId="0" fontId="4" fillId="0" borderId="0" xfId="1"/>
    <xf numFmtId="0" fontId="1" fillId="0" borderId="0" xfId="0" applyFont="1" applyAlignment="1">
      <alignment horizontal="right"/>
    </xf>
    <xf numFmtId="0" fontId="1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0000000&quot;.pdf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435FCF-C824-4735-8FBE-F377B7360186}" name="Tabela3" displayName="Tabela3" ref="A1:U412" totalsRowShown="0" headerRowBorderDxfId="16" tableBorderDxfId="17">
  <autoFilter ref="A1:U412" xr:uid="{4E435FCF-C824-4735-8FBE-F377B7360186}"/>
  <tableColumns count="21">
    <tableColumn id="1" xr3:uid="{9FBD15BE-F6DF-4A32-8CDA-EA8388AF4343}" name="Ano" dataDxfId="15">
      <calculatedColumnFormula>RIGHT(B2,4)</calculatedColumnFormula>
    </tableColumn>
    <tableColumn id="2" xr3:uid="{66F947A4-6BAA-4C0C-B646-9BE1432AE624}" name="IDDocumento" dataDxfId="14"/>
    <tableColumn id="3" xr3:uid="{3947087D-283F-401D-BE57-8626BC43915E}" name="Titulo" dataDxfId="13"/>
    <tableColumn id="4" xr3:uid="{798909BD-8C59-4860-AFF1-21FF5AE2EE9E}" name="TipoSubTipoDoc" dataDxfId="12"/>
    <tableColumn id="5" xr3:uid="{37471816-E23D-4C8F-B2FC-338B4B4430F9}" name="NVolumeBTE" dataDxfId="11"/>
    <tableColumn id="6" xr3:uid="{4A56B64A-7803-4F8F-8E2B-9631A364DC59}" name="NBTE" dataDxfId="10"/>
    <tableColumn id="7" xr3:uid="{B6DC6796-0CEB-4A22-BF83-C466F049B2BF}" name="DataBTE" dataDxfId="9"/>
    <tableColumn id="8" xr3:uid="{D71FD36E-9821-499E-98C7-BE408F26C90A}" name="DataDistribuicaoBTE" dataDxfId="8"/>
    <tableColumn id="9" xr3:uid="{C4DD45A4-0747-4276-AB64-34C776E921A5}" name="PagVersaoEscrita" dataDxfId="7"/>
    <tableColumn id="10" xr3:uid="{3441F065-FE09-47F5-9736-8DE172B057E6}" name="CAE" dataDxfId="6"/>
    <tableColumn id="11" xr3:uid="{F5B2E942-2D46-4051-A776-FAD54BA38E37}" name="CodigoGEPDGERT" dataDxfId="5"/>
    <tableColumn id="12" xr3:uid="{1AFA7D24-98B5-4A00-9D2E-5B5BB8770E4D}" name="DocumentosEmVigor"/>
    <tableColumn id="13" xr3:uid="{9135DAD7-7E79-4D7D-A017-823443F94EB9}" name="LinkDocEmVigor"/>
    <tableColumn id="14" xr3:uid="{0C64E0DC-78E9-4F23-8932-3B555570ED77}" name="DocAlteradosPorEste" dataDxfId="4"/>
    <tableColumn id="15" xr3:uid="{5B2F0F63-F3AE-401A-A4FC-5AA21D780257}" name="DocAlteradosPorEste2"/>
    <tableColumn id="16" xr3:uid="{A8700637-90DA-4CBE-B5A1-4FF24ECEC458}" name="DocAlteramEste"/>
    <tableColumn id="17" xr3:uid="{6332ACF5-6456-4E9C-B7A7-B43F6624F5B7}" name="SetoresAtividade" dataDxfId="3"/>
    <tableColumn id="18" xr3:uid="{FED301F6-BD68-4918-9777-C5C60177C0BE}" name="Outorgantes" dataDxfId="2"/>
    <tableColumn id="19" xr3:uid="{42FD08BB-943E-487F-854B-11AB289B8653}" name="FormulaPDF" dataDxfId="1"/>
    <tableColumn id="20" xr3:uid="{0F4B30AB-1A29-43B8-A6B3-777769866BDA}" name="NomePDF" dataDxfId="0">
      <calculatedColumnFormula>TEXT(S2, "00000000") &amp; ".pdf"</calculatedColumnFormula>
    </tableColumn>
    <tableColumn id="21" xr3:uid="{EA4BB159-D7AE-4FF8-AA8C-218B8267785C}" name="URLPDF">
      <calculatedColumnFormula>HYPERLINK(CONCATENATE("https://bte.dgcp.mtsss.gov.pt/documentos/",A2,"/",F2,"/",T2))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4996-DE47-4206-985E-2D3F5E889C6C}">
  <dimension ref="A1:W412"/>
  <sheetViews>
    <sheetView tabSelected="1" workbookViewId="0">
      <pane ySplit="1" topLeftCell="A2" activePane="bottomLeft" state="frozen"/>
      <selection pane="bottomLeft" sqref="A1:U412"/>
    </sheetView>
  </sheetViews>
  <sheetFormatPr defaultRowHeight="14.45"/>
  <cols>
    <col min="1" max="1" width="9.140625" style="11"/>
    <col min="2" max="2" width="14.42578125" customWidth="1"/>
    <col min="3" max="3" width="255.5703125" bestFit="1" customWidth="1"/>
    <col min="4" max="4" width="17.140625" customWidth="1"/>
    <col min="5" max="5" width="14.140625" customWidth="1"/>
    <col min="6" max="6" width="11.5703125" customWidth="1"/>
    <col min="7" max="7" width="13.7109375" customWidth="1"/>
    <col min="8" max="8" width="20.5703125" customWidth="1"/>
    <col min="9" max="9" width="18.140625" customWidth="1"/>
    <col min="11" max="11" width="19.140625" customWidth="1"/>
    <col min="12" max="12" width="23" customWidth="1"/>
    <col min="13" max="13" width="29.42578125" customWidth="1"/>
    <col min="14" max="14" width="21.140625" customWidth="1"/>
    <col min="15" max="15" width="22.140625" customWidth="1"/>
    <col min="16" max="16" width="16.5703125" customWidth="1"/>
    <col min="17" max="17" width="27.28515625" customWidth="1"/>
    <col min="18" max="18" width="21.7109375" customWidth="1"/>
    <col min="19" max="19" width="23" customWidth="1"/>
    <col min="20" max="20" width="23" style="11" customWidth="1"/>
    <col min="21" max="21" width="57.5703125" style="11" customWidth="1"/>
    <col min="22" max="22" width="68.7109375" customWidth="1"/>
  </cols>
  <sheetData>
    <row r="1" spans="1:23" ht="39">
      <c r="A1" s="12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6" t="s">
        <v>9</v>
      </c>
      <c r="K1" s="14" t="s">
        <v>10</v>
      </c>
      <c r="L1" s="14" t="s">
        <v>11</v>
      </c>
      <c r="M1" s="17" t="s">
        <v>12</v>
      </c>
      <c r="N1" s="14" t="s">
        <v>13</v>
      </c>
      <c r="O1" s="17" t="s">
        <v>14</v>
      </c>
      <c r="P1" s="14" t="s">
        <v>15</v>
      </c>
      <c r="Q1" s="14" t="s">
        <v>16</v>
      </c>
      <c r="R1" s="14" t="s">
        <v>17</v>
      </c>
      <c r="S1" s="18" t="s">
        <v>18</v>
      </c>
      <c r="T1" s="19" t="s">
        <v>19</v>
      </c>
      <c r="U1" s="20" t="s">
        <v>20</v>
      </c>
      <c r="W1" s="9"/>
    </row>
    <row r="2" spans="1:23">
      <c r="A2" s="11" t="str">
        <f t="shared" ref="A2:A65" si="0">RIGHT(B2,4)</f>
        <v>2026</v>
      </c>
      <c r="B2" s="1" t="s">
        <v>21</v>
      </c>
      <c r="C2" s="2" t="s">
        <v>22</v>
      </c>
      <c r="D2" s="3" t="s">
        <v>23</v>
      </c>
      <c r="E2" s="3">
        <v>93</v>
      </c>
      <c r="F2" s="4" t="s">
        <v>24</v>
      </c>
      <c r="G2" s="5">
        <v>46030</v>
      </c>
      <c r="H2" s="5">
        <v>46030</v>
      </c>
      <c r="I2" s="6"/>
      <c r="J2" s="7"/>
      <c r="K2" s="6">
        <v>27157</v>
      </c>
      <c r="L2" t="s">
        <v>25</v>
      </c>
      <c r="N2" s="3" t="s">
        <v>26</v>
      </c>
      <c r="Q2" t="s">
        <v>27</v>
      </c>
      <c r="S2" s="8">
        <v>50006</v>
      </c>
      <c r="T2" s="10" t="str">
        <f t="shared" ref="T2:T65" si="1">TEXT(S2, "00000000") &amp; ".pdf"</f>
        <v>00050006.pdf</v>
      </c>
      <c r="U2" s="9" t="str">
        <f>HYPERLINK(CONCATENATE("https://bte.dgcp.mtsss.gov.pt/documentos/",A2,"/",F2,"/",T2))</f>
        <v>https://bte.dgcp.mtsss.gov.pt/documentos/2026/1/00050006.pdf</v>
      </c>
    </row>
    <row r="3" spans="1:23">
      <c r="A3" s="11" t="str">
        <f t="shared" si="0"/>
        <v>2026</v>
      </c>
      <c r="B3" s="1" t="s">
        <v>28</v>
      </c>
      <c r="C3" s="2" t="s">
        <v>29</v>
      </c>
      <c r="D3" s="3" t="s">
        <v>23</v>
      </c>
      <c r="E3" s="3">
        <v>93</v>
      </c>
      <c r="F3" s="4" t="s">
        <v>24</v>
      </c>
      <c r="G3" s="5">
        <v>46030</v>
      </c>
      <c r="H3" s="5">
        <v>46030</v>
      </c>
      <c r="I3" s="6"/>
      <c r="J3" s="7"/>
      <c r="K3" s="6">
        <v>17158</v>
      </c>
      <c r="L3" t="s">
        <v>30</v>
      </c>
      <c r="N3" s="3" t="s">
        <v>31</v>
      </c>
      <c r="Q3" t="s">
        <v>32</v>
      </c>
      <c r="S3" s="8">
        <v>70008</v>
      </c>
      <c r="T3" s="10" t="str">
        <f t="shared" si="1"/>
        <v>00070008.pdf</v>
      </c>
      <c r="U3" s="9" t="str">
        <f>HYPERLINK(CONCATENATE("https://bte.dgcp.mtsss.gov.pt/documentos/",A3,"/",F3,"/",T3))</f>
        <v>https://bte.dgcp.mtsss.gov.pt/documentos/2026/1/00070008.pdf</v>
      </c>
    </row>
    <row r="4" spans="1:23">
      <c r="A4" s="11" t="str">
        <f t="shared" si="0"/>
        <v>2026</v>
      </c>
      <c r="B4" s="1" t="s">
        <v>33</v>
      </c>
      <c r="C4" s="2" t="s">
        <v>34</v>
      </c>
      <c r="D4" s="3" t="s">
        <v>23</v>
      </c>
      <c r="E4" s="3">
        <v>93</v>
      </c>
      <c r="F4" s="4" t="s">
        <v>24</v>
      </c>
      <c r="G4" s="5">
        <v>46030</v>
      </c>
      <c r="H4" s="5">
        <v>46030</v>
      </c>
      <c r="I4" s="6"/>
      <c r="J4" s="7"/>
      <c r="K4" s="6">
        <v>27160</v>
      </c>
      <c r="L4" t="s">
        <v>35</v>
      </c>
      <c r="N4" s="3" t="s">
        <v>36</v>
      </c>
      <c r="Q4" t="s">
        <v>37</v>
      </c>
      <c r="S4" s="8">
        <v>90010</v>
      </c>
      <c r="T4" s="10" t="str">
        <f t="shared" si="1"/>
        <v>00090010.pdf</v>
      </c>
      <c r="U4" s="9" t="str">
        <f>HYPERLINK(CONCATENATE("https://bte.dgcp.mtsss.gov.pt/documentos/",A4,"/",F4,"/",T4))</f>
        <v>https://bte.dgcp.mtsss.gov.pt/documentos/2026/1/00090010.pdf</v>
      </c>
    </row>
    <row r="5" spans="1:23">
      <c r="A5" s="11" t="str">
        <f t="shared" si="0"/>
        <v>2026</v>
      </c>
      <c r="B5" s="1" t="s">
        <v>38</v>
      </c>
      <c r="C5" s="2" t="s">
        <v>39</v>
      </c>
      <c r="D5" s="3" t="s">
        <v>23</v>
      </c>
      <c r="E5" s="3">
        <v>93</v>
      </c>
      <c r="F5" s="4" t="s">
        <v>24</v>
      </c>
      <c r="G5" s="5">
        <v>46030</v>
      </c>
      <c r="H5" s="5">
        <v>46030</v>
      </c>
      <c r="I5" s="6"/>
      <c r="J5" s="7"/>
      <c r="K5" s="6">
        <v>26720</v>
      </c>
      <c r="L5" t="s">
        <v>40</v>
      </c>
      <c r="N5" s="3" t="s">
        <v>41</v>
      </c>
      <c r="Q5" t="s">
        <v>42</v>
      </c>
      <c r="S5" s="8">
        <v>110012</v>
      </c>
      <c r="T5" s="10" t="str">
        <f t="shared" si="1"/>
        <v>00110012.pdf</v>
      </c>
      <c r="U5" s="9" t="str">
        <f>HYPERLINK(CONCATENATE("https://bte.dgcp.mtsss.gov.pt/documentos/",A5,"/",F5,"/",T5))</f>
        <v>https://bte.dgcp.mtsss.gov.pt/documentos/2026/1/00110012.pdf</v>
      </c>
    </row>
    <row r="6" spans="1:23">
      <c r="A6" s="11" t="str">
        <f t="shared" si="0"/>
        <v>2026</v>
      </c>
      <c r="B6" s="1" t="s">
        <v>43</v>
      </c>
      <c r="C6" s="2" t="s">
        <v>44</v>
      </c>
      <c r="D6" s="3" t="s">
        <v>23</v>
      </c>
      <c r="E6" s="3">
        <v>93</v>
      </c>
      <c r="F6" s="4" t="s">
        <v>24</v>
      </c>
      <c r="G6" s="5">
        <v>46030</v>
      </c>
      <c r="H6" s="5">
        <v>46030</v>
      </c>
      <c r="I6" s="6"/>
      <c r="J6" s="7"/>
      <c r="K6" s="6">
        <v>26913</v>
      </c>
      <c r="L6" t="s">
        <v>45</v>
      </c>
      <c r="N6" s="3" t="s">
        <v>46</v>
      </c>
      <c r="Q6" t="s">
        <v>47</v>
      </c>
      <c r="S6" s="8">
        <v>130014</v>
      </c>
      <c r="T6" s="10" t="str">
        <f t="shared" si="1"/>
        <v>00130014.pdf</v>
      </c>
      <c r="U6" s="9" t="str">
        <f>HYPERLINK(CONCATENATE("https://bte.dgcp.mtsss.gov.pt/documentos/",A6,"/",F6,"/",T6))</f>
        <v>https://bte.dgcp.mtsss.gov.pt/documentos/2026/1/00130014.pdf</v>
      </c>
    </row>
    <row r="7" spans="1:23">
      <c r="A7" s="11" t="str">
        <f t="shared" si="0"/>
        <v>2026</v>
      </c>
      <c r="B7" s="1" t="s">
        <v>48</v>
      </c>
      <c r="C7" s="2" t="s">
        <v>49</v>
      </c>
      <c r="D7" s="3" t="s">
        <v>23</v>
      </c>
      <c r="E7" s="3">
        <v>93</v>
      </c>
      <c r="F7" s="4" t="s">
        <v>24</v>
      </c>
      <c r="G7" s="5">
        <v>46030</v>
      </c>
      <c r="H7" s="5">
        <v>46030</v>
      </c>
      <c r="I7" s="6"/>
      <c r="J7" s="7"/>
      <c r="K7" s="6">
        <v>27154</v>
      </c>
      <c r="L7" t="s">
        <v>50</v>
      </c>
      <c r="N7" s="3" t="s">
        <v>51</v>
      </c>
      <c r="Q7" t="s">
        <v>47</v>
      </c>
      <c r="S7" s="8">
        <v>150016</v>
      </c>
      <c r="T7" s="10" t="str">
        <f t="shared" si="1"/>
        <v>00150016.pdf</v>
      </c>
      <c r="U7" s="9" t="str">
        <f>HYPERLINK(CONCATENATE("https://bte.dgcp.mtsss.gov.pt/documentos/",A7,"/",F7,"/",T7))</f>
        <v>https://bte.dgcp.mtsss.gov.pt/documentos/2026/1/00150016.pdf</v>
      </c>
    </row>
    <row r="8" spans="1:23">
      <c r="A8" s="11" t="str">
        <f t="shared" si="0"/>
        <v>2026</v>
      </c>
      <c r="B8" s="1" t="s">
        <v>52</v>
      </c>
      <c r="C8" s="2" t="s">
        <v>53</v>
      </c>
      <c r="D8" s="3" t="s">
        <v>23</v>
      </c>
      <c r="E8" s="3">
        <v>93</v>
      </c>
      <c r="F8" s="4" t="s">
        <v>24</v>
      </c>
      <c r="G8" s="5">
        <v>46030</v>
      </c>
      <c r="H8" s="5">
        <v>46030</v>
      </c>
      <c r="I8" s="6"/>
      <c r="J8" s="7"/>
      <c r="K8" s="6">
        <v>26022</v>
      </c>
      <c r="L8" t="s">
        <v>54</v>
      </c>
      <c r="N8" s="3" t="s">
        <v>55</v>
      </c>
      <c r="Q8" t="s">
        <v>56</v>
      </c>
      <c r="S8" s="8">
        <v>170018</v>
      </c>
      <c r="T8" s="10" t="str">
        <f t="shared" si="1"/>
        <v>00170018.pdf</v>
      </c>
      <c r="U8" s="9" t="str">
        <f>HYPERLINK(CONCATENATE("https://bte.dgcp.mtsss.gov.pt/documentos/",A8,"/",F8,"/",T8))</f>
        <v>https://bte.dgcp.mtsss.gov.pt/documentos/2026/1/00170018.pdf</v>
      </c>
    </row>
    <row r="9" spans="1:23">
      <c r="A9" s="11" t="str">
        <f t="shared" si="0"/>
        <v>2026</v>
      </c>
      <c r="B9" s="1" t="s">
        <v>57</v>
      </c>
      <c r="C9" s="2" t="s">
        <v>58</v>
      </c>
      <c r="D9" s="3" t="s">
        <v>23</v>
      </c>
      <c r="E9" s="3">
        <v>93</v>
      </c>
      <c r="F9" s="4" t="s">
        <v>24</v>
      </c>
      <c r="G9" s="5">
        <v>46030</v>
      </c>
      <c r="H9" s="5">
        <v>46030</v>
      </c>
      <c r="I9" s="6"/>
      <c r="J9" s="7"/>
      <c r="K9" s="6">
        <v>26567</v>
      </c>
      <c r="L9" t="s">
        <v>59</v>
      </c>
      <c r="N9" s="3" t="s">
        <v>60</v>
      </c>
      <c r="Q9" t="s">
        <v>61</v>
      </c>
      <c r="S9" s="8">
        <v>190020</v>
      </c>
      <c r="T9" s="10" t="str">
        <f t="shared" si="1"/>
        <v>00190020.pdf</v>
      </c>
      <c r="U9" s="9" t="str">
        <f>HYPERLINK(CONCATENATE("https://bte.dgcp.mtsss.gov.pt/documentos/",A9,"/",F9,"/",T9))</f>
        <v>https://bte.dgcp.mtsss.gov.pt/documentos/2026/1/00190020.pdf</v>
      </c>
    </row>
    <row r="10" spans="1:23">
      <c r="A10" s="11" t="str">
        <f t="shared" si="0"/>
        <v>2026</v>
      </c>
      <c r="B10" s="1" t="s">
        <v>62</v>
      </c>
      <c r="C10" s="2" t="s">
        <v>63</v>
      </c>
      <c r="D10" s="3" t="s">
        <v>23</v>
      </c>
      <c r="E10" s="3">
        <v>93</v>
      </c>
      <c r="F10" s="4" t="s">
        <v>24</v>
      </c>
      <c r="G10" s="5">
        <v>46030</v>
      </c>
      <c r="H10" s="5">
        <v>46030</v>
      </c>
      <c r="I10" s="6"/>
      <c r="J10" s="7"/>
      <c r="K10" s="6">
        <v>26991</v>
      </c>
      <c r="L10" t="s">
        <v>64</v>
      </c>
      <c r="N10" s="3" t="s">
        <v>65</v>
      </c>
      <c r="Q10" t="s">
        <v>66</v>
      </c>
      <c r="S10" s="8">
        <v>210022</v>
      </c>
      <c r="T10" s="10" t="str">
        <f t="shared" si="1"/>
        <v>00210022.pdf</v>
      </c>
      <c r="U10" s="9" t="str">
        <f>HYPERLINK(CONCATENATE("https://bte.dgcp.mtsss.gov.pt/documentos/",A10,"/",F10,"/",T10))</f>
        <v>https://bte.dgcp.mtsss.gov.pt/documentos/2026/1/00210022.pdf</v>
      </c>
    </row>
    <row r="11" spans="1:23">
      <c r="A11" s="11" t="str">
        <f t="shared" si="0"/>
        <v>2026</v>
      </c>
      <c r="B11" s="1" t="s">
        <v>67</v>
      </c>
      <c r="C11" s="2" t="s">
        <v>68</v>
      </c>
      <c r="D11" s="3" t="s">
        <v>23</v>
      </c>
      <c r="E11" s="3">
        <v>93</v>
      </c>
      <c r="F11" s="4" t="s">
        <v>24</v>
      </c>
      <c r="G11" s="5">
        <v>46030</v>
      </c>
      <c r="H11" s="5">
        <v>46030</v>
      </c>
      <c r="I11" s="6"/>
      <c r="J11" s="7"/>
      <c r="K11" s="6">
        <v>26975</v>
      </c>
      <c r="L11" t="s">
        <v>69</v>
      </c>
      <c r="N11" s="3" t="s">
        <v>70</v>
      </c>
      <c r="Q11" t="s">
        <v>71</v>
      </c>
      <c r="S11" s="8">
        <v>230024</v>
      </c>
      <c r="T11" s="10" t="str">
        <f t="shared" si="1"/>
        <v>00230024.pdf</v>
      </c>
      <c r="U11" s="9" t="str">
        <f>HYPERLINK(CONCATENATE("https://bte.dgcp.mtsss.gov.pt/documentos/",A11,"/",F11,"/",T11))</f>
        <v>https://bte.dgcp.mtsss.gov.pt/documentos/2026/1/00230024.pdf</v>
      </c>
    </row>
    <row r="12" spans="1:23">
      <c r="A12" s="11" t="str">
        <f t="shared" si="0"/>
        <v>2026</v>
      </c>
      <c r="B12" s="1" t="s">
        <v>72</v>
      </c>
      <c r="C12" s="2" t="s">
        <v>73</v>
      </c>
      <c r="D12" s="3" t="s">
        <v>23</v>
      </c>
      <c r="E12" s="3">
        <v>93</v>
      </c>
      <c r="F12" s="4" t="s">
        <v>24</v>
      </c>
      <c r="G12" s="5">
        <v>46030</v>
      </c>
      <c r="H12" s="5">
        <v>46030</v>
      </c>
      <c r="I12" s="6"/>
      <c r="J12" s="7"/>
      <c r="K12" s="6">
        <v>27058</v>
      </c>
      <c r="L12" t="s">
        <v>74</v>
      </c>
      <c r="N12" s="3" t="s">
        <v>75</v>
      </c>
      <c r="Q12" t="s">
        <v>76</v>
      </c>
      <c r="S12" s="8">
        <v>250026</v>
      </c>
      <c r="T12" s="10" t="str">
        <f t="shared" si="1"/>
        <v>00250026.pdf</v>
      </c>
      <c r="U12" s="9" t="str">
        <f>HYPERLINK(CONCATENATE("https://bte.dgcp.mtsss.gov.pt/documentos/",A12,"/",F12,"/",T12))</f>
        <v>https://bte.dgcp.mtsss.gov.pt/documentos/2026/1/00250026.pdf</v>
      </c>
    </row>
    <row r="13" spans="1:23">
      <c r="A13" s="11" t="str">
        <f t="shared" si="0"/>
        <v>2026</v>
      </c>
      <c r="B13" s="1" t="s">
        <v>77</v>
      </c>
      <c r="C13" s="2" t="s">
        <v>78</v>
      </c>
      <c r="D13" s="3" t="s">
        <v>23</v>
      </c>
      <c r="E13" s="3">
        <v>93</v>
      </c>
      <c r="F13" s="4" t="s">
        <v>24</v>
      </c>
      <c r="G13" s="5">
        <v>46030</v>
      </c>
      <c r="H13" s="5">
        <v>46030</v>
      </c>
      <c r="I13" s="6"/>
      <c r="J13" s="7"/>
      <c r="K13" s="6">
        <v>26321</v>
      </c>
      <c r="L13" t="s">
        <v>79</v>
      </c>
      <c r="N13" s="3" t="s">
        <v>80</v>
      </c>
      <c r="Q13" t="s">
        <v>81</v>
      </c>
      <c r="S13" s="8">
        <v>270028</v>
      </c>
      <c r="T13" s="10" t="str">
        <f t="shared" si="1"/>
        <v>00270028.pdf</v>
      </c>
      <c r="U13" s="9" t="str">
        <f>HYPERLINK(CONCATENATE("https://bte.dgcp.mtsss.gov.pt/documentos/",A13,"/",F13,"/",T13))</f>
        <v>https://bte.dgcp.mtsss.gov.pt/documentos/2026/1/00270028.pdf</v>
      </c>
    </row>
    <row r="14" spans="1:23">
      <c r="A14" s="11" t="str">
        <f t="shared" si="0"/>
        <v>2026</v>
      </c>
      <c r="B14" s="1" t="s">
        <v>82</v>
      </c>
      <c r="C14" s="2" t="s">
        <v>83</v>
      </c>
      <c r="D14" s="3" t="s">
        <v>23</v>
      </c>
      <c r="E14" s="3">
        <v>93</v>
      </c>
      <c r="F14" s="4" t="s">
        <v>24</v>
      </c>
      <c r="G14" s="5">
        <v>46030</v>
      </c>
      <c r="H14" s="5">
        <v>46030</v>
      </c>
      <c r="I14" s="6"/>
      <c r="J14" s="7"/>
      <c r="K14" s="6">
        <v>47057</v>
      </c>
      <c r="L14" t="s">
        <v>84</v>
      </c>
      <c r="N14" s="3" t="s">
        <v>85</v>
      </c>
      <c r="Q14" t="s">
        <v>86</v>
      </c>
      <c r="S14" s="8">
        <v>290030</v>
      </c>
      <c r="T14" s="10" t="str">
        <f t="shared" si="1"/>
        <v>00290030.pdf</v>
      </c>
      <c r="U14" s="9" t="str">
        <f>HYPERLINK(CONCATENATE("https://bte.dgcp.mtsss.gov.pt/documentos/",A14,"/",F14,"/",T14))</f>
        <v>https://bte.dgcp.mtsss.gov.pt/documentos/2026/1/00290030.pdf</v>
      </c>
    </row>
    <row r="15" spans="1:23">
      <c r="A15" s="11" t="str">
        <f t="shared" si="0"/>
        <v>2026</v>
      </c>
      <c r="B15" s="1" t="s">
        <v>87</v>
      </c>
      <c r="C15" s="2" t="s">
        <v>88</v>
      </c>
      <c r="D15" s="3" t="s">
        <v>23</v>
      </c>
      <c r="E15" s="3">
        <v>93</v>
      </c>
      <c r="F15" s="4" t="s">
        <v>24</v>
      </c>
      <c r="G15" s="5">
        <v>46030</v>
      </c>
      <c r="H15" s="5">
        <v>46030</v>
      </c>
      <c r="I15" s="6"/>
      <c r="J15" s="7"/>
      <c r="K15" s="6">
        <v>26588</v>
      </c>
      <c r="L15" t="s">
        <v>89</v>
      </c>
      <c r="N15" s="3" t="s">
        <v>90</v>
      </c>
      <c r="Q15" t="s">
        <v>91</v>
      </c>
      <c r="S15" s="8">
        <v>310032</v>
      </c>
      <c r="T15" s="10" t="str">
        <f t="shared" si="1"/>
        <v>00310032.pdf</v>
      </c>
      <c r="U15" s="9" t="str">
        <f>HYPERLINK(CONCATENATE("https://bte.dgcp.mtsss.gov.pt/documentos/",A15,"/",F15,"/",T15))</f>
        <v>https://bte.dgcp.mtsss.gov.pt/documentos/2026/1/00310032.pdf</v>
      </c>
    </row>
    <row r="16" spans="1:23">
      <c r="A16" s="11" t="str">
        <f t="shared" si="0"/>
        <v>2026</v>
      </c>
      <c r="B16" s="1" t="s">
        <v>92</v>
      </c>
      <c r="C16" s="2" t="s">
        <v>93</v>
      </c>
      <c r="D16" s="3" t="s">
        <v>23</v>
      </c>
      <c r="E16" s="3">
        <v>93</v>
      </c>
      <c r="F16" s="4" t="s">
        <v>24</v>
      </c>
      <c r="G16" s="5">
        <v>46030</v>
      </c>
      <c r="H16" s="5">
        <v>46030</v>
      </c>
      <c r="I16" s="6"/>
      <c r="J16" s="7"/>
      <c r="K16" s="6">
        <v>26996</v>
      </c>
      <c r="L16" t="s">
        <v>94</v>
      </c>
      <c r="N16" s="3" t="s">
        <v>95</v>
      </c>
      <c r="Q16" t="s">
        <v>96</v>
      </c>
      <c r="S16" s="8">
        <v>330034</v>
      </c>
      <c r="T16" s="10" t="str">
        <f t="shared" si="1"/>
        <v>00330034.pdf</v>
      </c>
      <c r="U16" s="9" t="str">
        <f>HYPERLINK(CONCATENATE("https://bte.dgcp.mtsss.gov.pt/documentos/",A16,"/",F16,"/",T16))</f>
        <v>https://bte.dgcp.mtsss.gov.pt/documentos/2026/1/00330034.pdf</v>
      </c>
    </row>
    <row r="17" spans="1:21">
      <c r="A17" s="11" t="str">
        <f t="shared" si="0"/>
        <v>2026</v>
      </c>
      <c r="B17" s="1" t="s">
        <v>97</v>
      </c>
      <c r="C17" s="2" t="s">
        <v>98</v>
      </c>
      <c r="D17" s="3" t="s">
        <v>99</v>
      </c>
      <c r="E17" s="3">
        <v>93</v>
      </c>
      <c r="F17" s="4" t="s">
        <v>24</v>
      </c>
      <c r="G17" s="5">
        <v>46030</v>
      </c>
      <c r="H17" s="5">
        <v>46030</v>
      </c>
      <c r="I17" s="6"/>
      <c r="J17" s="7"/>
      <c r="K17" s="6">
        <v>17203</v>
      </c>
      <c r="N17" s="3" t="s">
        <v>100</v>
      </c>
      <c r="Q17" t="s">
        <v>101</v>
      </c>
      <c r="R17" t="s">
        <v>102</v>
      </c>
      <c r="S17" s="8">
        <v>350080</v>
      </c>
      <c r="T17" s="10" t="str">
        <f t="shared" si="1"/>
        <v>00350080.pdf</v>
      </c>
      <c r="U17" s="9" t="str">
        <f>HYPERLINK(CONCATENATE("https://bte.dgcp.mtsss.gov.pt/documentos/",A17,"/",F17,"/",T17))</f>
        <v>https://bte.dgcp.mtsss.gov.pt/documentos/2026/1/00350080.pdf</v>
      </c>
    </row>
    <row r="18" spans="1:21">
      <c r="A18" s="11" t="str">
        <f t="shared" si="0"/>
        <v>2026</v>
      </c>
      <c r="B18" s="1" t="s">
        <v>103</v>
      </c>
      <c r="C18" s="2" t="s">
        <v>104</v>
      </c>
      <c r="D18" s="3" t="s">
        <v>105</v>
      </c>
      <c r="E18" s="3">
        <v>93</v>
      </c>
      <c r="F18" s="4" t="s">
        <v>24</v>
      </c>
      <c r="G18" s="5">
        <v>46030</v>
      </c>
      <c r="H18" s="5">
        <v>46030</v>
      </c>
      <c r="I18" s="6"/>
      <c r="J18" s="7"/>
      <c r="K18" s="6">
        <v>47155</v>
      </c>
      <c r="L18" t="s">
        <v>106</v>
      </c>
      <c r="N18" s="3" t="s">
        <v>107</v>
      </c>
      <c r="Q18" t="s">
        <v>108</v>
      </c>
      <c r="R18" t="s">
        <v>109</v>
      </c>
      <c r="S18" s="8">
        <v>810086</v>
      </c>
      <c r="T18" s="10" t="str">
        <f t="shared" si="1"/>
        <v>00810086.pdf</v>
      </c>
      <c r="U18" s="9" t="str">
        <f>HYPERLINK(CONCATENATE("https://bte.dgcp.mtsss.gov.pt/documentos/",A18,"/",F18,"/",T18))</f>
        <v>https://bte.dgcp.mtsss.gov.pt/documentos/2026/1/00810086.pdf</v>
      </c>
    </row>
    <row r="19" spans="1:21">
      <c r="A19" s="11" t="str">
        <f t="shared" si="0"/>
        <v>2026</v>
      </c>
      <c r="B19" s="1" t="s">
        <v>110</v>
      </c>
      <c r="C19" s="2" t="s">
        <v>111</v>
      </c>
      <c r="D19" s="3" t="s">
        <v>105</v>
      </c>
      <c r="E19" s="3">
        <v>93</v>
      </c>
      <c r="F19" s="4" t="s">
        <v>24</v>
      </c>
      <c r="G19" s="5">
        <v>46030</v>
      </c>
      <c r="H19" s="5">
        <v>46030</v>
      </c>
      <c r="I19" s="6"/>
      <c r="J19" s="7"/>
      <c r="K19" s="6">
        <v>44980</v>
      </c>
      <c r="N19" s="3" t="s">
        <v>112</v>
      </c>
      <c r="Q19" t="s">
        <v>113</v>
      </c>
      <c r="R19" t="s">
        <v>114</v>
      </c>
      <c r="S19" s="8">
        <v>870153</v>
      </c>
      <c r="T19" s="10" t="str">
        <f t="shared" si="1"/>
        <v>00870153.pdf</v>
      </c>
      <c r="U19" s="9" t="str">
        <f>HYPERLINK(CONCATENATE("https://bte.dgcp.mtsss.gov.pt/documentos/",A19,"/",F19,"/",T19))</f>
        <v>https://bte.dgcp.mtsss.gov.pt/documentos/2026/1/00870153.pdf</v>
      </c>
    </row>
    <row r="20" spans="1:21">
      <c r="A20" s="11" t="str">
        <f t="shared" si="0"/>
        <v>2026</v>
      </c>
      <c r="B20" s="1" t="s">
        <v>115</v>
      </c>
      <c r="C20" s="2" t="s">
        <v>116</v>
      </c>
      <c r="D20" s="3" t="s">
        <v>105</v>
      </c>
      <c r="E20" s="3">
        <v>93</v>
      </c>
      <c r="F20" s="4" t="s">
        <v>24</v>
      </c>
      <c r="G20" s="5">
        <v>46030</v>
      </c>
      <c r="H20" s="5">
        <v>46030</v>
      </c>
      <c r="I20" s="6"/>
      <c r="J20" s="7"/>
      <c r="K20" s="6">
        <v>44980</v>
      </c>
      <c r="N20" s="3" t="s">
        <v>117</v>
      </c>
      <c r="Q20" t="s">
        <v>113</v>
      </c>
      <c r="R20" t="s">
        <v>118</v>
      </c>
      <c r="S20" s="8">
        <v>1540220</v>
      </c>
      <c r="T20" s="10" t="str">
        <f t="shared" si="1"/>
        <v>01540220.pdf</v>
      </c>
      <c r="U20" s="9" t="str">
        <f>HYPERLINK(CONCATENATE("https://bte.dgcp.mtsss.gov.pt/documentos/",A20,"/",F20,"/",T20))</f>
        <v>https://bte.dgcp.mtsss.gov.pt/documentos/2026/1/01540220.pdf</v>
      </c>
    </row>
    <row r="21" spans="1:21">
      <c r="A21" s="11" t="str">
        <f t="shared" si="0"/>
        <v>2026</v>
      </c>
      <c r="B21" s="1" t="s">
        <v>119</v>
      </c>
      <c r="C21" s="2" t="s">
        <v>120</v>
      </c>
      <c r="D21" s="3" t="s">
        <v>105</v>
      </c>
      <c r="E21" s="3">
        <v>93</v>
      </c>
      <c r="F21" s="4" t="s">
        <v>24</v>
      </c>
      <c r="G21" s="5">
        <v>46030</v>
      </c>
      <c r="H21" s="5">
        <v>46030</v>
      </c>
      <c r="I21" s="6"/>
      <c r="J21" s="7"/>
      <c r="K21" s="6">
        <v>46100</v>
      </c>
      <c r="N21" s="3" t="s">
        <v>121</v>
      </c>
      <c r="Q21" t="s">
        <v>113</v>
      </c>
      <c r="R21" t="s">
        <v>122</v>
      </c>
      <c r="S21" s="8">
        <v>2210283</v>
      </c>
      <c r="T21" s="10" t="str">
        <f t="shared" si="1"/>
        <v>02210283.pdf</v>
      </c>
      <c r="U21" s="9" t="str">
        <f>HYPERLINK(CONCATENATE("https://bte.dgcp.mtsss.gov.pt/documentos/",A21,"/",F21,"/",T21))</f>
        <v>https://bte.dgcp.mtsss.gov.pt/documentos/2026/1/02210283.pdf</v>
      </c>
    </row>
    <row r="22" spans="1:21">
      <c r="A22" s="11" t="str">
        <f t="shared" si="0"/>
        <v>2026</v>
      </c>
      <c r="B22" s="1" t="s">
        <v>123</v>
      </c>
      <c r="C22" s="2" t="s">
        <v>124</v>
      </c>
      <c r="D22" s="3" t="s">
        <v>105</v>
      </c>
      <c r="E22" s="3">
        <v>93</v>
      </c>
      <c r="F22" s="4" t="s">
        <v>24</v>
      </c>
      <c r="G22" s="5">
        <v>46030</v>
      </c>
      <c r="H22" s="5">
        <v>46030</v>
      </c>
      <c r="I22" s="6"/>
      <c r="J22" s="7"/>
      <c r="K22" s="6">
        <v>44980</v>
      </c>
      <c r="N22" s="3" t="s">
        <v>112</v>
      </c>
      <c r="Q22" t="s">
        <v>113</v>
      </c>
      <c r="R22" t="s">
        <v>125</v>
      </c>
      <c r="S22" s="8">
        <v>2840350</v>
      </c>
      <c r="T22" s="10" t="str">
        <f t="shared" si="1"/>
        <v>02840350.pdf</v>
      </c>
      <c r="U22" s="9" t="str">
        <f>HYPERLINK(CONCATENATE("https://bte.dgcp.mtsss.gov.pt/documentos/",A22,"/",F22,"/",T22))</f>
        <v>https://bte.dgcp.mtsss.gov.pt/documentos/2026/1/02840350.pdf</v>
      </c>
    </row>
    <row r="23" spans="1:21">
      <c r="A23" s="11" t="str">
        <f t="shared" si="0"/>
        <v>2026</v>
      </c>
      <c r="B23" s="1" t="s">
        <v>126</v>
      </c>
      <c r="C23" s="2" t="s">
        <v>127</v>
      </c>
      <c r="D23" s="3" t="s">
        <v>23</v>
      </c>
      <c r="E23" s="3">
        <v>93</v>
      </c>
      <c r="F23" s="4" t="s">
        <v>128</v>
      </c>
      <c r="G23" s="5">
        <v>46037</v>
      </c>
      <c r="H23" s="5">
        <v>46037</v>
      </c>
      <c r="I23" s="6"/>
      <c r="J23" s="7"/>
      <c r="K23" s="6">
        <v>26494</v>
      </c>
      <c r="L23" t="s">
        <v>129</v>
      </c>
      <c r="N23" s="3" t="s">
        <v>130</v>
      </c>
      <c r="Q23" t="s">
        <v>131</v>
      </c>
      <c r="S23" s="8">
        <v>40005</v>
      </c>
      <c r="T23" s="10" t="str">
        <f t="shared" si="1"/>
        <v>00040005.pdf</v>
      </c>
      <c r="U23" s="9" t="str">
        <f>HYPERLINK(CONCATENATE("https://bte.dgcp.mtsss.gov.pt/documentos/",A23,"/",F23,"/",T23))</f>
        <v>https://bte.dgcp.mtsss.gov.pt/documentos/2026/2/00040005.pdf</v>
      </c>
    </row>
    <row r="24" spans="1:21">
      <c r="A24" s="11" t="str">
        <f t="shared" si="0"/>
        <v>2026</v>
      </c>
      <c r="B24" s="1" t="s">
        <v>132</v>
      </c>
      <c r="C24" s="2" t="s">
        <v>133</v>
      </c>
      <c r="D24" s="3" t="s">
        <v>23</v>
      </c>
      <c r="E24" s="3">
        <v>93</v>
      </c>
      <c r="F24" s="4" t="s">
        <v>128</v>
      </c>
      <c r="G24" s="5">
        <v>46037</v>
      </c>
      <c r="H24" s="5">
        <v>46037</v>
      </c>
      <c r="I24" s="6"/>
      <c r="J24" s="7"/>
      <c r="K24" s="6">
        <v>26002</v>
      </c>
      <c r="L24" t="s">
        <v>134</v>
      </c>
      <c r="N24" s="3" t="s">
        <v>135</v>
      </c>
      <c r="Q24" t="s">
        <v>136</v>
      </c>
      <c r="S24" s="8">
        <v>60007</v>
      </c>
      <c r="T24" s="10" t="str">
        <f t="shared" si="1"/>
        <v>00060007.pdf</v>
      </c>
      <c r="U24" s="9" t="str">
        <f>HYPERLINK(CONCATENATE("https://bte.dgcp.mtsss.gov.pt/documentos/",A24,"/",F24,"/",T24))</f>
        <v>https://bte.dgcp.mtsss.gov.pt/documentos/2026/2/00060007.pdf</v>
      </c>
    </row>
    <row r="25" spans="1:21">
      <c r="A25" s="11" t="str">
        <f t="shared" si="0"/>
        <v>2026</v>
      </c>
      <c r="B25" s="1" t="s">
        <v>137</v>
      </c>
      <c r="C25" s="2" t="s">
        <v>138</v>
      </c>
      <c r="D25" s="3" t="s">
        <v>23</v>
      </c>
      <c r="E25" s="3">
        <v>93</v>
      </c>
      <c r="F25" s="4" t="s">
        <v>128</v>
      </c>
      <c r="G25" s="5">
        <v>46037</v>
      </c>
      <c r="H25" s="5">
        <v>46037</v>
      </c>
      <c r="I25" s="6"/>
      <c r="J25" s="7"/>
      <c r="K25" s="6">
        <v>25989</v>
      </c>
      <c r="L25" t="s">
        <v>139</v>
      </c>
      <c r="N25" s="3" t="s">
        <v>140</v>
      </c>
      <c r="Q25" t="s">
        <v>141</v>
      </c>
      <c r="S25" s="8">
        <v>80009</v>
      </c>
      <c r="T25" s="10" t="str">
        <f t="shared" si="1"/>
        <v>00080009.pdf</v>
      </c>
      <c r="U25" s="9" t="str">
        <f>HYPERLINK(CONCATENATE("https://bte.dgcp.mtsss.gov.pt/documentos/",A25,"/",F25,"/",T25))</f>
        <v>https://bte.dgcp.mtsss.gov.pt/documentos/2026/2/00080009.pdf</v>
      </c>
    </row>
    <row r="26" spans="1:21">
      <c r="A26" s="11" t="str">
        <f t="shared" si="0"/>
        <v>2026</v>
      </c>
      <c r="B26" s="1" t="s">
        <v>142</v>
      </c>
      <c r="C26" s="2" t="s">
        <v>143</v>
      </c>
      <c r="D26" s="3" t="s">
        <v>23</v>
      </c>
      <c r="E26" s="3">
        <v>93</v>
      </c>
      <c r="F26" s="4" t="s">
        <v>128</v>
      </c>
      <c r="G26" s="5">
        <v>46037</v>
      </c>
      <c r="H26" s="5">
        <v>46037</v>
      </c>
      <c r="I26" s="6"/>
      <c r="J26" s="7"/>
      <c r="K26" s="6">
        <v>26933</v>
      </c>
      <c r="L26" t="s">
        <v>144</v>
      </c>
      <c r="N26" s="3" t="s">
        <v>145</v>
      </c>
      <c r="Q26" t="s">
        <v>146</v>
      </c>
      <c r="S26" s="8">
        <v>100011</v>
      </c>
      <c r="T26" s="10" t="str">
        <f t="shared" si="1"/>
        <v>00100011.pdf</v>
      </c>
      <c r="U26" s="9" t="str">
        <f>HYPERLINK(CONCATENATE("https://bte.dgcp.mtsss.gov.pt/documentos/",A26,"/",F26,"/",T26))</f>
        <v>https://bte.dgcp.mtsss.gov.pt/documentos/2026/2/00100011.pdf</v>
      </c>
    </row>
    <row r="27" spans="1:21">
      <c r="A27" s="11" t="str">
        <f t="shared" si="0"/>
        <v>2026</v>
      </c>
      <c r="B27" s="1" t="s">
        <v>147</v>
      </c>
      <c r="C27" s="2" t="s">
        <v>148</v>
      </c>
      <c r="D27" s="3" t="s">
        <v>23</v>
      </c>
      <c r="E27" s="3">
        <v>93</v>
      </c>
      <c r="F27" s="4" t="s">
        <v>128</v>
      </c>
      <c r="G27" s="5">
        <v>46037</v>
      </c>
      <c r="H27" s="5">
        <v>46037</v>
      </c>
      <c r="I27" s="6"/>
      <c r="J27" s="7"/>
      <c r="K27" s="6">
        <v>27164</v>
      </c>
      <c r="L27" t="s">
        <v>149</v>
      </c>
      <c r="N27" s="3" t="s">
        <v>150</v>
      </c>
      <c r="Q27" t="s">
        <v>151</v>
      </c>
      <c r="S27" s="8">
        <v>120013</v>
      </c>
      <c r="T27" s="10" t="str">
        <f t="shared" si="1"/>
        <v>00120013.pdf</v>
      </c>
      <c r="U27" s="9" t="str">
        <f>HYPERLINK(CONCATENATE("https://bte.dgcp.mtsss.gov.pt/documentos/",A27,"/",F27,"/",T27))</f>
        <v>https://bte.dgcp.mtsss.gov.pt/documentos/2026/2/00120013.pdf</v>
      </c>
    </row>
    <row r="28" spans="1:21">
      <c r="A28" s="11" t="str">
        <f t="shared" si="0"/>
        <v>2026</v>
      </c>
      <c r="B28" s="1" t="s">
        <v>152</v>
      </c>
      <c r="C28" s="2" t="s">
        <v>153</v>
      </c>
      <c r="D28" s="3" t="s">
        <v>23</v>
      </c>
      <c r="E28" s="3">
        <v>93</v>
      </c>
      <c r="F28" s="4" t="s">
        <v>128</v>
      </c>
      <c r="G28" s="5">
        <v>46037</v>
      </c>
      <c r="H28" s="5">
        <v>46037</v>
      </c>
      <c r="I28" s="6"/>
      <c r="J28" s="7"/>
      <c r="K28" s="6">
        <v>26544</v>
      </c>
      <c r="L28" t="s">
        <v>154</v>
      </c>
      <c r="N28" s="3" t="s">
        <v>155</v>
      </c>
      <c r="Q28" t="s">
        <v>156</v>
      </c>
      <c r="S28" s="8">
        <v>140015</v>
      </c>
      <c r="T28" s="10" t="str">
        <f t="shared" si="1"/>
        <v>00140015.pdf</v>
      </c>
      <c r="U28" s="9" t="str">
        <f>HYPERLINK(CONCATENATE("https://bte.dgcp.mtsss.gov.pt/documentos/",A28,"/",F28,"/",T28))</f>
        <v>https://bte.dgcp.mtsss.gov.pt/documentos/2026/2/00140015.pdf</v>
      </c>
    </row>
    <row r="29" spans="1:21">
      <c r="A29" s="11" t="str">
        <f t="shared" si="0"/>
        <v>2026</v>
      </c>
      <c r="B29" s="1" t="s">
        <v>157</v>
      </c>
      <c r="C29" s="2" t="s">
        <v>158</v>
      </c>
      <c r="D29" s="3" t="s">
        <v>23</v>
      </c>
      <c r="E29" s="3">
        <v>93</v>
      </c>
      <c r="F29" s="4" t="s">
        <v>128</v>
      </c>
      <c r="G29" s="5">
        <v>46037</v>
      </c>
      <c r="H29" s="5">
        <v>46037</v>
      </c>
      <c r="I29" s="6"/>
      <c r="J29" s="7"/>
      <c r="K29" s="6">
        <v>26544</v>
      </c>
      <c r="L29" t="s">
        <v>159</v>
      </c>
      <c r="N29" s="3" t="s">
        <v>160</v>
      </c>
      <c r="Q29" t="s">
        <v>156</v>
      </c>
      <c r="S29" s="8">
        <v>160017</v>
      </c>
      <c r="T29" s="10" t="str">
        <f t="shared" si="1"/>
        <v>00160017.pdf</v>
      </c>
      <c r="U29" s="9" t="str">
        <f>HYPERLINK(CONCATENATE("https://bte.dgcp.mtsss.gov.pt/documentos/",A29,"/",F29,"/",T29))</f>
        <v>https://bte.dgcp.mtsss.gov.pt/documentos/2026/2/00160017.pdf</v>
      </c>
    </row>
    <row r="30" spans="1:21">
      <c r="A30" s="11" t="str">
        <f t="shared" si="0"/>
        <v>2026</v>
      </c>
      <c r="B30" s="1" t="s">
        <v>161</v>
      </c>
      <c r="C30" s="2" t="s">
        <v>162</v>
      </c>
      <c r="D30" s="3" t="s">
        <v>23</v>
      </c>
      <c r="E30" s="3">
        <v>93</v>
      </c>
      <c r="F30" s="4" t="s">
        <v>128</v>
      </c>
      <c r="G30" s="5">
        <v>46037</v>
      </c>
      <c r="H30" s="5">
        <v>46037</v>
      </c>
      <c r="I30" s="6"/>
      <c r="J30" s="7"/>
      <c r="K30" s="6">
        <v>26579</v>
      </c>
      <c r="L30" t="s">
        <v>163</v>
      </c>
      <c r="N30" s="3" t="s">
        <v>164</v>
      </c>
      <c r="Q30" t="s">
        <v>165</v>
      </c>
      <c r="S30" s="8">
        <v>180019</v>
      </c>
      <c r="T30" s="10" t="str">
        <f t="shared" si="1"/>
        <v>00180019.pdf</v>
      </c>
      <c r="U30" s="9" t="str">
        <f>HYPERLINK(CONCATENATE("https://bte.dgcp.mtsss.gov.pt/documentos/",A30,"/",F30,"/",T30))</f>
        <v>https://bte.dgcp.mtsss.gov.pt/documentos/2026/2/00180019.pdf</v>
      </c>
    </row>
    <row r="31" spans="1:21">
      <c r="A31" s="11" t="str">
        <f t="shared" si="0"/>
        <v>2026</v>
      </c>
      <c r="B31" s="1" t="s">
        <v>166</v>
      </c>
      <c r="C31" s="2" t="s">
        <v>167</v>
      </c>
      <c r="D31" s="3" t="s">
        <v>105</v>
      </c>
      <c r="E31" s="3">
        <v>93</v>
      </c>
      <c r="F31" s="4" t="s">
        <v>128</v>
      </c>
      <c r="G31" s="5">
        <v>46037</v>
      </c>
      <c r="H31" s="5">
        <v>46037</v>
      </c>
      <c r="I31" s="6"/>
      <c r="J31" s="7"/>
      <c r="K31" s="6">
        <v>46363</v>
      </c>
      <c r="L31" t="s">
        <v>168</v>
      </c>
      <c r="N31" s="3" t="s">
        <v>169</v>
      </c>
      <c r="Q31" t="s">
        <v>170</v>
      </c>
      <c r="R31" t="s">
        <v>171</v>
      </c>
      <c r="S31" s="8">
        <v>200024</v>
      </c>
      <c r="T31" s="10" t="str">
        <f t="shared" si="1"/>
        <v>00200024.pdf</v>
      </c>
      <c r="U31" s="9" t="str">
        <f>HYPERLINK(CONCATENATE("https://bte.dgcp.mtsss.gov.pt/documentos/",A31,"/",F31,"/",T31))</f>
        <v>https://bte.dgcp.mtsss.gov.pt/documentos/2026/2/00200024.pdf</v>
      </c>
    </row>
    <row r="32" spans="1:21">
      <c r="A32" s="11" t="str">
        <f t="shared" si="0"/>
        <v>2026</v>
      </c>
      <c r="B32" s="1" t="s">
        <v>172</v>
      </c>
      <c r="C32" s="2" t="s">
        <v>173</v>
      </c>
      <c r="D32" s="3" t="s">
        <v>105</v>
      </c>
      <c r="E32" s="3">
        <v>93</v>
      </c>
      <c r="F32" s="4" t="s">
        <v>128</v>
      </c>
      <c r="G32" s="5">
        <v>46037</v>
      </c>
      <c r="H32" s="5">
        <v>46037</v>
      </c>
      <c r="I32" s="6"/>
      <c r="J32" s="7"/>
      <c r="K32" s="6">
        <v>46364</v>
      </c>
      <c r="L32" t="s">
        <v>174</v>
      </c>
      <c r="N32" s="3" t="s">
        <v>175</v>
      </c>
      <c r="Q32" t="s">
        <v>170</v>
      </c>
      <c r="R32" t="s">
        <v>176</v>
      </c>
      <c r="S32" s="8">
        <v>250029</v>
      </c>
      <c r="T32" s="10" t="str">
        <f t="shared" si="1"/>
        <v>00250029.pdf</v>
      </c>
      <c r="U32" s="9" t="str">
        <f>HYPERLINK(CONCATENATE("https://bte.dgcp.mtsss.gov.pt/documentos/",A32,"/",F32,"/",T32))</f>
        <v>https://bte.dgcp.mtsss.gov.pt/documentos/2026/2/00250029.pdf</v>
      </c>
    </row>
    <row r="33" spans="1:21">
      <c r="A33" s="11" t="str">
        <f t="shared" si="0"/>
        <v>2026</v>
      </c>
      <c r="B33" s="1" t="s">
        <v>177</v>
      </c>
      <c r="C33" s="2" t="s">
        <v>178</v>
      </c>
      <c r="D33" s="3" t="s">
        <v>105</v>
      </c>
      <c r="E33" s="3">
        <v>93</v>
      </c>
      <c r="F33" s="4" t="s">
        <v>128</v>
      </c>
      <c r="G33" s="5">
        <v>46037</v>
      </c>
      <c r="H33" s="5">
        <v>46037</v>
      </c>
      <c r="I33" s="6"/>
      <c r="J33" s="7"/>
      <c r="K33" s="6">
        <v>46363</v>
      </c>
      <c r="L33" t="s">
        <v>179</v>
      </c>
      <c r="N33" s="3" t="s">
        <v>180</v>
      </c>
      <c r="Q33" t="s">
        <v>170</v>
      </c>
      <c r="R33" t="s">
        <v>181</v>
      </c>
      <c r="S33" s="8">
        <v>300033</v>
      </c>
      <c r="T33" s="10" t="str">
        <f t="shared" si="1"/>
        <v>00300033.pdf</v>
      </c>
      <c r="U33" s="9" t="str">
        <f>HYPERLINK(CONCATENATE("https://bte.dgcp.mtsss.gov.pt/documentos/",A33,"/",F33,"/",T33))</f>
        <v>https://bte.dgcp.mtsss.gov.pt/documentos/2026/2/00300033.pdf</v>
      </c>
    </row>
    <row r="34" spans="1:21">
      <c r="A34" s="11" t="str">
        <f t="shared" si="0"/>
        <v>2026</v>
      </c>
      <c r="B34" s="1" t="s">
        <v>182</v>
      </c>
      <c r="C34" s="2" t="s">
        <v>183</v>
      </c>
      <c r="D34" s="3" t="s">
        <v>184</v>
      </c>
      <c r="E34" s="3">
        <v>93</v>
      </c>
      <c r="F34" s="4" t="s">
        <v>128</v>
      </c>
      <c r="G34" s="5">
        <v>46037</v>
      </c>
      <c r="H34" s="5">
        <v>46037</v>
      </c>
      <c r="I34" s="6"/>
      <c r="J34" s="7"/>
      <c r="K34" s="6">
        <v>16517</v>
      </c>
      <c r="L34" t="s">
        <v>185</v>
      </c>
      <c r="N34" s="3" t="s">
        <v>186</v>
      </c>
      <c r="Q34" t="s">
        <v>187</v>
      </c>
      <c r="R34" t="s">
        <v>188</v>
      </c>
      <c r="S34" s="8">
        <v>340035</v>
      </c>
      <c r="T34" s="10" t="str">
        <f t="shared" si="1"/>
        <v>00340035.pdf</v>
      </c>
      <c r="U34" s="9" t="str">
        <f>HYPERLINK(CONCATENATE("https://bte.dgcp.mtsss.gov.pt/documentos/",A34,"/",F34,"/",T34))</f>
        <v>https://bte.dgcp.mtsss.gov.pt/documentos/2026/2/00340035.pdf</v>
      </c>
    </row>
    <row r="35" spans="1:21">
      <c r="A35" s="11" t="str">
        <f t="shared" si="0"/>
        <v>2026</v>
      </c>
      <c r="B35" s="1" t="s">
        <v>189</v>
      </c>
      <c r="C35" s="2" t="s">
        <v>190</v>
      </c>
      <c r="D35" s="3" t="s">
        <v>99</v>
      </c>
      <c r="E35" s="3">
        <v>93</v>
      </c>
      <c r="F35" s="4" t="s">
        <v>191</v>
      </c>
      <c r="G35" s="5">
        <v>46044</v>
      </c>
      <c r="H35" s="5">
        <v>46044</v>
      </c>
      <c r="I35" s="6"/>
      <c r="J35" s="7"/>
      <c r="K35" s="6"/>
      <c r="N35" s="3" t="s">
        <v>192</v>
      </c>
      <c r="Q35" t="s">
        <v>193</v>
      </c>
      <c r="R35" t="s">
        <v>194</v>
      </c>
      <c r="S35" s="8">
        <v>40019</v>
      </c>
      <c r="T35" s="10" t="str">
        <f t="shared" si="1"/>
        <v>00040019.pdf</v>
      </c>
      <c r="U35" s="9" t="str">
        <f>HYPERLINK(CONCATENATE("https://bte.dgcp.mtsss.gov.pt/documentos/",A35,"/",F35,"/",T35))</f>
        <v>https://bte.dgcp.mtsss.gov.pt/documentos/2026/3/00040019.pdf</v>
      </c>
    </row>
    <row r="36" spans="1:21">
      <c r="A36" s="11" t="str">
        <f t="shared" si="0"/>
        <v>2026</v>
      </c>
      <c r="B36" s="1" t="s">
        <v>195</v>
      </c>
      <c r="C36" s="2" t="s">
        <v>196</v>
      </c>
      <c r="D36" s="3" t="s">
        <v>105</v>
      </c>
      <c r="E36" s="3">
        <v>93</v>
      </c>
      <c r="F36" s="4" t="s">
        <v>191</v>
      </c>
      <c r="G36" s="5">
        <v>46044</v>
      </c>
      <c r="H36" s="5">
        <v>46044</v>
      </c>
      <c r="I36" s="6"/>
      <c r="J36" s="7"/>
      <c r="K36" s="6">
        <v>46680</v>
      </c>
      <c r="L36" t="s">
        <v>197</v>
      </c>
      <c r="N36" s="3" t="s">
        <v>198</v>
      </c>
      <c r="Q36" t="s">
        <v>199</v>
      </c>
      <c r="R36" t="s">
        <v>200</v>
      </c>
      <c r="S36" s="8">
        <v>200042</v>
      </c>
      <c r="T36" s="10" t="str">
        <f t="shared" si="1"/>
        <v>00200042.pdf</v>
      </c>
      <c r="U36" s="9" t="str">
        <f>HYPERLINK(CONCATENATE("https://bte.dgcp.mtsss.gov.pt/documentos/",A36,"/",F36,"/",T36))</f>
        <v>https://bte.dgcp.mtsss.gov.pt/documentos/2026/3/00200042.pdf</v>
      </c>
    </row>
    <row r="37" spans="1:21">
      <c r="A37" s="11" t="str">
        <f t="shared" si="0"/>
        <v>2026</v>
      </c>
      <c r="B37" s="1" t="s">
        <v>201</v>
      </c>
      <c r="C37" s="2" t="s">
        <v>202</v>
      </c>
      <c r="D37" s="3" t="s">
        <v>203</v>
      </c>
      <c r="E37" s="3">
        <v>93</v>
      </c>
      <c r="F37" s="4" t="s">
        <v>191</v>
      </c>
      <c r="G37" s="5">
        <v>46044</v>
      </c>
      <c r="H37" s="5">
        <v>46044</v>
      </c>
      <c r="I37" s="6"/>
      <c r="J37" s="7"/>
      <c r="K37" s="6">
        <v>47048</v>
      </c>
      <c r="L37" t="s">
        <v>204</v>
      </c>
      <c r="N37" s="3" t="s">
        <v>205</v>
      </c>
      <c r="Q37" t="s">
        <v>206</v>
      </c>
      <c r="R37" t="s">
        <v>207</v>
      </c>
      <c r="S37" s="8">
        <v>430044</v>
      </c>
      <c r="T37" s="10" t="str">
        <f t="shared" si="1"/>
        <v>00430044.pdf</v>
      </c>
      <c r="U37" s="9" t="str">
        <f>HYPERLINK(CONCATENATE("https://bte.dgcp.mtsss.gov.pt/documentos/",A37,"/",F37,"/",T37))</f>
        <v>https://bte.dgcp.mtsss.gov.pt/documentos/2026/3/00430044.pdf</v>
      </c>
    </row>
    <row r="38" spans="1:21">
      <c r="A38" s="11" t="str">
        <f t="shared" si="0"/>
        <v>2026</v>
      </c>
      <c r="B38" s="1" t="s">
        <v>208</v>
      </c>
      <c r="C38" s="2" t="s">
        <v>209</v>
      </c>
      <c r="D38" s="3" t="s">
        <v>203</v>
      </c>
      <c r="E38" s="3">
        <v>93</v>
      </c>
      <c r="F38" s="4" t="s">
        <v>191</v>
      </c>
      <c r="G38" s="5">
        <v>46044</v>
      </c>
      <c r="H38" s="5">
        <v>46044</v>
      </c>
      <c r="I38" s="6"/>
      <c r="J38" s="7"/>
      <c r="K38" s="6">
        <v>46995</v>
      </c>
      <c r="L38" t="s">
        <v>210</v>
      </c>
      <c r="N38" s="3" t="s">
        <v>211</v>
      </c>
      <c r="Q38" t="s">
        <v>212</v>
      </c>
      <c r="R38" t="s">
        <v>213</v>
      </c>
      <c r="S38" s="8">
        <v>450047</v>
      </c>
      <c r="T38" s="10" t="str">
        <f t="shared" si="1"/>
        <v>00450047.pdf</v>
      </c>
      <c r="U38" s="9" t="str">
        <f>HYPERLINK(CONCATENATE("https://bte.dgcp.mtsss.gov.pt/documentos/",A38,"/",F38,"/",T38))</f>
        <v>https://bte.dgcp.mtsss.gov.pt/documentos/2026/3/00450047.pdf</v>
      </c>
    </row>
    <row r="39" spans="1:21">
      <c r="A39" s="11" t="str">
        <f t="shared" si="0"/>
        <v>2026</v>
      </c>
      <c r="B39" s="1" t="s">
        <v>214</v>
      </c>
      <c r="C39" s="2" t="s">
        <v>215</v>
      </c>
      <c r="D39" s="3" t="s">
        <v>184</v>
      </c>
      <c r="E39" s="3">
        <v>93</v>
      </c>
      <c r="F39" s="4" t="s">
        <v>191</v>
      </c>
      <c r="G39" s="5">
        <v>46044</v>
      </c>
      <c r="H39" s="5">
        <v>46044</v>
      </c>
      <c r="I39" s="6"/>
      <c r="J39" s="7"/>
      <c r="K39" s="6">
        <v>26262</v>
      </c>
      <c r="L39" t="s">
        <v>216</v>
      </c>
      <c r="N39" s="3" t="s">
        <v>217</v>
      </c>
      <c r="Q39" t="s">
        <v>218</v>
      </c>
      <c r="R39" t="s">
        <v>219</v>
      </c>
      <c r="S39" s="8">
        <v>480048</v>
      </c>
      <c r="T39" s="10" t="str">
        <f t="shared" si="1"/>
        <v>00480048.pdf</v>
      </c>
      <c r="U39" s="9" t="str">
        <f>HYPERLINK(CONCATENATE("https://bte.dgcp.mtsss.gov.pt/documentos/",A39,"/",F39,"/",T39))</f>
        <v>https://bte.dgcp.mtsss.gov.pt/documentos/2026/3/00480048.pdf</v>
      </c>
    </row>
    <row r="40" spans="1:21">
      <c r="A40" s="11" t="str">
        <f t="shared" si="0"/>
        <v>2026</v>
      </c>
      <c r="B40" s="1" t="s">
        <v>220</v>
      </c>
      <c r="C40" s="2" t="s">
        <v>221</v>
      </c>
      <c r="D40" s="3" t="s">
        <v>222</v>
      </c>
      <c r="E40" s="3">
        <v>93</v>
      </c>
      <c r="F40" s="4" t="s">
        <v>223</v>
      </c>
      <c r="G40" s="5">
        <v>46051</v>
      </c>
      <c r="H40" s="5">
        <v>46051</v>
      </c>
      <c r="I40" s="6"/>
      <c r="J40" s="7"/>
      <c r="K40" s="6"/>
      <c r="N40" s="3" t="s">
        <v>224</v>
      </c>
      <c r="Q40" s="3" t="s">
        <v>193</v>
      </c>
      <c r="R40" s="3" t="s">
        <v>225</v>
      </c>
      <c r="S40" s="8">
        <v>40015</v>
      </c>
      <c r="T40" s="10" t="str">
        <f t="shared" si="1"/>
        <v>00040015.pdf</v>
      </c>
      <c r="U40" s="9" t="str">
        <f>HYPERLINK(CONCATENATE("https://bte.dgcp.mtsss.gov.pt/documentos/",A40,"/",F40,"/",T40))</f>
        <v>https://bte.dgcp.mtsss.gov.pt/documentos/2026/4/00040015.pdf</v>
      </c>
    </row>
    <row r="41" spans="1:21">
      <c r="A41" s="11" t="str">
        <f t="shared" si="0"/>
        <v>2026</v>
      </c>
      <c r="B41" s="1" t="s">
        <v>226</v>
      </c>
      <c r="C41" s="2" t="s">
        <v>227</v>
      </c>
      <c r="D41" s="3" t="s">
        <v>23</v>
      </c>
      <c r="E41" s="3">
        <v>93</v>
      </c>
      <c r="F41" s="4" t="s">
        <v>223</v>
      </c>
      <c r="G41" s="5">
        <v>46051</v>
      </c>
      <c r="H41" s="5">
        <v>46051</v>
      </c>
      <c r="I41" s="6"/>
      <c r="J41" s="7"/>
      <c r="K41" s="6">
        <v>26251</v>
      </c>
      <c r="L41" s="3" t="s">
        <v>228</v>
      </c>
      <c r="N41" s="3" t="s">
        <v>229</v>
      </c>
      <c r="Q41" s="3" t="s">
        <v>230</v>
      </c>
      <c r="S41" s="8">
        <v>160017</v>
      </c>
      <c r="T41" s="10" t="str">
        <f t="shared" si="1"/>
        <v>00160017.pdf</v>
      </c>
      <c r="U41" s="9" t="str">
        <f>HYPERLINK(CONCATENATE("https://bte.dgcp.mtsss.gov.pt/documentos/",A41,"/",F41,"/",T41))</f>
        <v>https://bte.dgcp.mtsss.gov.pt/documentos/2026/4/00160017.pdf</v>
      </c>
    </row>
    <row r="42" spans="1:21">
      <c r="A42" s="11" t="str">
        <f t="shared" si="0"/>
        <v>2026</v>
      </c>
      <c r="B42" s="1" t="s">
        <v>231</v>
      </c>
      <c r="C42" s="2" t="s">
        <v>232</v>
      </c>
      <c r="D42" s="3" t="s">
        <v>23</v>
      </c>
      <c r="E42" s="3">
        <v>93</v>
      </c>
      <c r="F42" s="4" t="s">
        <v>223</v>
      </c>
      <c r="G42" s="5">
        <v>46051</v>
      </c>
      <c r="H42" s="5">
        <v>46051</v>
      </c>
      <c r="I42" s="6"/>
      <c r="J42" s="7"/>
      <c r="K42" s="6">
        <v>27162</v>
      </c>
      <c r="L42" s="3" t="s">
        <v>233</v>
      </c>
      <c r="N42" s="3" t="s">
        <v>234</v>
      </c>
      <c r="Q42" s="3" t="s">
        <v>235</v>
      </c>
      <c r="S42" s="8">
        <v>180019</v>
      </c>
      <c r="T42" s="10" t="str">
        <f t="shared" si="1"/>
        <v>00180019.pdf</v>
      </c>
      <c r="U42" s="9" t="str">
        <f>HYPERLINK(CONCATENATE("https://bte.dgcp.mtsss.gov.pt/documentos/",A42,"/",F42,"/",T42))</f>
        <v>https://bte.dgcp.mtsss.gov.pt/documentos/2026/4/00180019.pdf</v>
      </c>
    </row>
    <row r="43" spans="1:21">
      <c r="A43" s="11" t="str">
        <f t="shared" si="0"/>
        <v>2026</v>
      </c>
      <c r="B43" s="1" t="s">
        <v>236</v>
      </c>
      <c r="C43" s="2" t="s">
        <v>237</v>
      </c>
      <c r="D43" s="3" t="s">
        <v>23</v>
      </c>
      <c r="E43" s="3">
        <v>93</v>
      </c>
      <c r="F43" s="4" t="s">
        <v>223</v>
      </c>
      <c r="G43" s="5">
        <v>46051</v>
      </c>
      <c r="H43" s="5">
        <v>46051</v>
      </c>
      <c r="I43" s="6"/>
      <c r="J43" s="7"/>
      <c r="K43" s="6">
        <v>26992</v>
      </c>
      <c r="L43" s="3" t="s">
        <v>238</v>
      </c>
      <c r="N43" s="3" t="s">
        <v>239</v>
      </c>
      <c r="Q43" s="3" t="s">
        <v>156</v>
      </c>
      <c r="S43" s="8">
        <v>200021</v>
      </c>
      <c r="T43" s="10" t="str">
        <f t="shared" si="1"/>
        <v>00200021.pdf</v>
      </c>
      <c r="U43" s="9" t="str">
        <f>HYPERLINK(CONCATENATE("https://bte.dgcp.mtsss.gov.pt/documentos/",A43,"/",F43,"/",T43))</f>
        <v>https://bte.dgcp.mtsss.gov.pt/documentos/2026/4/00200021.pdf</v>
      </c>
    </row>
    <row r="44" spans="1:21">
      <c r="A44" s="11" t="str">
        <f t="shared" si="0"/>
        <v>2026</v>
      </c>
      <c r="B44" s="1" t="s">
        <v>240</v>
      </c>
      <c r="C44" s="2" t="s">
        <v>241</v>
      </c>
      <c r="D44" s="3" t="s">
        <v>23</v>
      </c>
      <c r="E44" s="3">
        <v>93</v>
      </c>
      <c r="F44" s="4" t="s">
        <v>223</v>
      </c>
      <c r="G44" s="5">
        <v>46051</v>
      </c>
      <c r="H44" s="5">
        <v>46051</v>
      </c>
      <c r="I44" s="6"/>
      <c r="J44" s="7"/>
      <c r="K44" s="6">
        <v>26545</v>
      </c>
      <c r="L44" s="3" t="s">
        <v>242</v>
      </c>
      <c r="N44" s="3" t="s">
        <v>243</v>
      </c>
      <c r="Q44" s="3" t="s">
        <v>156</v>
      </c>
      <c r="S44" s="8">
        <v>220023</v>
      </c>
      <c r="T44" s="10" t="str">
        <f t="shared" si="1"/>
        <v>00220023.pdf</v>
      </c>
      <c r="U44" s="9" t="str">
        <f>HYPERLINK(CONCATENATE("https://bte.dgcp.mtsss.gov.pt/documentos/",A44,"/",F44,"/",T44))</f>
        <v>https://bte.dgcp.mtsss.gov.pt/documentos/2026/4/00220023.pdf</v>
      </c>
    </row>
    <row r="45" spans="1:21">
      <c r="A45" s="11" t="str">
        <f t="shared" si="0"/>
        <v>2026</v>
      </c>
      <c r="B45" s="1" t="s">
        <v>244</v>
      </c>
      <c r="C45" s="2" t="s">
        <v>245</v>
      </c>
      <c r="D45" s="3" t="s">
        <v>23</v>
      </c>
      <c r="E45" s="3">
        <v>93</v>
      </c>
      <c r="F45" s="4" t="s">
        <v>223</v>
      </c>
      <c r="G45" s="5">
        <v>46051</v>
      </c>
      <c r="H45" s="5">
        <v>46051</v>
      </c>
      <c r="I45" s="6"/>
      <c r="J45" s="7"/>
      <c r="K45" s="6">
        <v>26125</v>
      </c>
      <c r="L45" s="3" t="s">
        <v>246</v>
      </c>
      <c r="N45" s="3" t="s">
        <v>247</v>
      </c>
      <c r="Q45" s="3" t="s">
        <v>248</v>
      </c>
      <c r="S45" s="8">
        <v>240025</v>
      </c>
      <c r="T45" s="10" t="str">
        <f t="shared" si="1"/>
        <v>00240025.pdf</v>
      </c>
      <c r="U45" s="9" t="str">
        <f>HYPERLINK(CONCATENATE("https://bte.dgcp.mtsss.gov.pt/documentos/",A45,"/",F45,"/",T45))</f>
        <v>https://bte.dgcp.mtsss.gov.pt/documentos/2026/4/00240025.pdf</v>
      </c>
    </row>
    <row r="46" spans="1:21">
      <c r="A46" s="11" t="str">
        <f t="shared" si="0"/>
        <v>2026</v>
      </c>
      <c r="B46" s="1" t="s">
        <v>249</v>
      </c>
      <c r="C46" s="2" t="s">
        <v>250</v>
      </c>
      <c r="D46" s="3" t="s">
        <v>23</v>
      </c>
      <c r="E46" s="3">
        <v>93</v>
      </c>
      <c r="F46" s="4" t="s">
        <v>223</v>
      </c>
      <c r="G46" s="5">
        <v>46051</v>
      </c>
      <c r="H46" s="5">
        <v>46051</v>
      </c>
      <c r="I46" s="6"/>
      <c r="J46" s="7"/>
      <c r="K46" s="6">
        <v>26676</v>
      </c>
      <c r="L46" s="3" t="s">
        <v>251</v>
      </c>
      <c r="N46" s="3" t="s">
        <v>252</v>
      </c>
      <c r="Q46" s="3" t="s">
        <v>253</v>
      </c>
      <c r="S46" s="8">
        <v>260027</v>
      </c>
      <c r="T46" s="10" t="str">
        <f t="shared" si="1"/>
        <v>00260027.pdf</v>
      </c>
      <c r="U46" s="9" t="str">
        <f>HYPERLINK(CONCATENATE("https://bte.dgcp.mtsss.gov.pt/documentos/",A46,"/",F46,"/",T46))</f>
        <v>https://bte.dgcp.mtsss.gov.pt/documentos/2026/4/00260027.pdf</v>
      </c>
    </row>
    <row r="47" spans="1:21">
      <c r="A47" s="11" t="str">
        <f t="shared" si="0"/>
        <v>2026</v>
      </c>
      <c r="B47" s="1" t="s">
        <v>254</v>
      </c>
      <c r="C47" s="2" t="s">
        <v>255</v>
      </c>
      <c r="D47" s="3" t="s">
        <v>23</v>
      </c>
      <c r="E47" s="3">
        <v>93</v>
      </c>
      <c r="F47" s="4" t="s">
        <v>223</v>
      </c>
      <c r="G47" s="5">
        <v>46051</v>
      </c>
      <c r="H47" s="5">
        <v>46051</v>
      </c>
      <c r="I47" s="6"/>
      <c r="J47" s="7"/>
      <c r="K47" s="6">
        <v>27101</v>
      </c>
      <c r="L47" s="3" t="s">
        <v>256</v>
      </c>
      <c r="N47" s="3" t="s">
        <v>257</v>
      </c>
      <c r="Q47" s="3" t="s">
        <v>258</v>
      </c>
      <c r="S47" s="8">
        <v>280029</v>
      </c>
      <c r="T47" s="10" t="str">
        <f t="shared" si="1"/>
        <v>00280029.pdf</v>
      </c>
      <c r="U47" s="9" t="str">
        <f>HYPERLINK(CONCATENATE("https://bte.dgcp.mtsss.gov.pt/documentos/",A47,"/",F47,"/",T47))</f>
        <v>https://bte.dgcp.mtsss.gov.pt/documentos/2026/4/00280029.pdf</v>
      </c>
    </row>
    <row r="48" spans="1:21">
      <c r="A48" s="11" t="str">
        <f t="shared" si="0"/>
        <v>2026</v>
      </c>
      <c r="B48" s="1" t="s">
        <v>259</v>
      </c>
      <c r="C48" s="2" t="s">
        <v>260</v>
      </c>
      <c r="D48" s="3" t="s">
        <v>23</v>
      </c>
      <c r="E48" s="3">
        <v>93</v>
      </c>
      <c r="F48" s="4" t="s">
        <v>223</v>
      </c>
      <c r="G48" s="5">
        <v>46051</v>
      </c>
      <c r="H48" s="5">
        <v>46051</v>
      </c>
      <c r="I48" s="6"/>
      <c r="J48" s="7"/>
      <c r="K48" s="6">
        <v>26667</v>
      </c>
      <c r="L48" s="3" t="s">
        <v>261</v>
      </c>
      <c r="N48" s="3" t="s">
        <v>262</v>
      </c>
      <c r="Q48" s="3" t="s">
        <v>263</v>
      </c>
      <c r="S48" s="8">
        <v>300031</v>
      </c>
      <c r="T48" s="10" t="str">
        <f t="shared" si="1"/>
        <v>00300031.pdf</v>
      </c>
      <c r="U48" s="9" t="str">
        <f>HYPERLINK(CONCATENATE("https://bte.dgcp.mtsss.gov.pt/documentos/",A48,"/",F48,"/",T48))</f>
        <v>https://bte.dgcp.mtsss.gov.pt/documentos/2026/4/00300031.pdf</v>
      </c>
    </row>
    <row r="49" spans="1:21">
      <c r="A49" s="11" t="str">
        <f t="shared" si="0"/>
        <v>2026</v>
      </c>
      <c r="B49" s="1" t="s">
        <v>264</v>
      </c>
      <c r="C49" s="2" t="s">
        <v>265</v>
      </c>
      <c r="D49" s="3" t="s">
        <v>23</v>
      </c>
      <c r="E49" s="3">
        <v>93</v>
      </c>
      <c r="F49" s="4" t="s">
        <v>223</v>
      </c>
      <c r="G49" s="5">
        <v>46051</v>
      </c>
      <c r="H49" s="5">
        <v>46051</v>
      </c>
      <c r="I49" s="6"/>
      <c r="J49" s="7"/>
      <c r="K49" s="6">
        <v>27168</v>
      </c>
      <c r="L49" s="3" t="s">
        <v>266</v>
      </c>
      <c r="N49" s="3" t="s">
        <v>267</v>
      </c>
      <c r="Q49" s="3" t="s">
        <v>268</v>
      </c>
      <c r="S49" s="8">
        <v>320033</v>
      </c>
      <c r="T49" s="10" t="str">
        <f t="shared" si="1"/>
        <v>00320033.pdf</v>
      </c>
      <c r="U49" s="9" t="str">
        <f>HYPERLINK(CONCATENATE("https://bte.dgcp.mtsss.gov.pt/documentos/",A49,"/",F49,"/",T49))</f>
        <v>https://bte.dgcp.mtsss.gov.pt/documentos/2026/4/00320033.pdf</v>
      </c>
    </row>
    <row r="50" spans="1:21">
      <c r="A50" s="11" t="str">
        <f t="shared" si="0"/>
        <v>2026</v>
      </c>
      <c r="B50" s="1" t="s">
        <v>269</v>
      </c>
      <c r="C50" s="2" t="s">
        <v>270</v>
      </c>
      <c r="D50" s="3" t="s">
        <v>271</v>
      </c>
      <c r="E50" s="3">
        <v>93</v>
      </c>
      <c r="F50" s="4" t="s">
        <v>223</v>
      </c>
      <c r="G50" s="5">
        <v>46051</v>
      </c>
      <c r="H50" s="5">
        <v>46051</v>
      </c>
      <c r="I50" s="6"/>
      <c r="J50" s="7"/>
      <c r="K50" s="6">
        <v>27101</v>
      </c>
      <c r="L50" s="3" t="s">
        <v>272</v>
      </c>
      <c r="N50" s="3" t="s">
        <v>257</v>
      </c>
      <c r="Q50" s="3" t="s">
        <v>273</v>
      </c>
      <c r="R50" s="3" t="s">
        <v>274</v>
      </c>
      <c r="S50" s="8">
        <v>340036</v>
      </c>
      <c r="T50" s="10" t="str">
        <f t="shared" si="1"/>
        <v>00340036.pdf</v>
      </c>
      <c r="U50" s="9" t="str">
        <f>HYPERLINK(CONCATENATE("https://bte.dgcp.mtsss.gov.pt/documentos/",A50,"/",F50,"/",T50))</f>
        <v>https://bte.dgcp.mtsss.gov.pt/documentos/2026/4/00340036.pdf</v>
      </c>
    </row>
    <row r="51" spans="1:21">
      <c r="A51" s="11" t="str">
        <f t="shared" si="0"/>
        <v>2026</v>
      </c>
      <c r="B51" s="1" t="s">
        <v>275</v>
      </c>
      <c r="C51" s="2" t="s">
        <v>276</v>
      </c>
      <c r="D51" s="3" t="s">
        <v>99</v>
      </c>
      <c r="E51" s="3">
        <v>93</v>
      </c>
      <c r="F51" s="4" t="s">
        <v>277</v>
      </c>
      <c r="G51" s="5">
        <v>46061</v>
      </c>
      <c r="H51" s="5">
        <v>46062</v>
      </c>
      <c r="I51" s="6"/>
      <c r="J51" s="7"/>
      <c r="K51" s="6"/>
      <c r="N51" s="3"/>
      <c r="Q51" t="s">
        <v>193</v>
      </c>
      <c r="R51" t="s">
        <v>278</v>
      </c>
      <c r="S51" s="8">
        <v>50017</v>
      </c>
      <c r="T51" s="10" t="str">
        <f t="shared" si="1"/>
        <v>00050017.pdf</v>
      </c>
      <c r="U51" s="9" t="str">
        <f>HYPERLINK(CONCATENATE("https://bte.dgcp.mtsss.gov.pt/documentos/",A51,"/",F51,"/",T51))</f>
        <v>https://bte.dgcp.mtsss.gov.pt/documentos/2026/5/00050017.pdf</v>
      </c>
    </row>
    <row r="52" spans="1:21">
      <c r="A52" s="11" t="str">
        <f t="shared" si="0"/>
        <v>2026</v>
      </c>
      <c r="B52" s="1" t="s">
        <v>279</v>
      </c>
      <c r="C52" s="2" t="s">
        <v>280</v>
      </c>
      <c r="D52" s="3" t="s">
        <v>99</v>
      </c>
      <c r="E52" s="3">
        <v>93</v>
      </c>
      <c r="F52" s="4" t="s">
        <v>277</v>
      </c>
      <c r="G52" s="5">
        <v>46061</v>
      </c>
      <c r="H52" s="5">
        <v>46062</v>
      </c>
      <c r="I52" s="6"/>
      <c r="J52" s="7"/>
      <c r="K52" s="6"/>
      <c r="N52" s="3" t="s">
        <v>281</v>
      </c>
      <c r="Q52" t="s">
        <v>193</v>
      </c>
      <c r="R52" t="s">
        <v>282</v>
      </c>
      <c r="S52" s="8">
        <v>180027</v>
      </c>
      <c r="T52" s="10" t="str">
        <f t="shared" si="1"/>
        <v>00180027.pdf</v>
      </c>
      <c r="U52" s="9" t="str">
        <f>HYPERLINK(CONCATENATE("https://bte.dgcp.mtsss.gov.pt/documentos/",A52,"/",F52,"/",T52))</f>
        <v>https://bte.dgcp.mtsss.gov.pt/documentos/2026/5/00180027.pdf</v>
      </c>
    </row>
    <row r="53" spans="1:21">
      <c r="A53" s="11" t="str">
        <f t="shared" si="0"/>
        <v>2026</v>
      </c>
      <c r="B53" s="1" t="s">
        <v>283</v>
      </c>
      <c r="C53" s="2" t="s">
        <v>284</v>
      </c>
      <c r="D53" s="3" t="s">
        <v>99</v>
      </c>
      <c r="E53" s="3">
        <v>93</v>
      </c>
      <c r="F53" s="4" t="s">
        <v>277</v>
      </c>
      <c r="G53" s="5">
        <v>46061</v>
      </c>
      <c r="H53" s="5">
        <v>46062</v>
      </c>
      <c r="I53" s="6"/>
      <c r="J53" s="7"/>
      <c r="K53" s="6"/>
      <c r="N53" s="3"/>
      <c r="Q53" t="s">
        <v>193</v>
      </c>
      <c r="R53" t="s">
        <v>285</v>
      </c>
      <c r="S53" s="8">
        <v>280040</v>
      </c>
      <c r="T53" s="10" t="str">
        <f t="shared" si="1"/>
        <v>00280040.pdf</v>
      </c>
      <c r="U53" s="9" t="str">
        <f>HYPERLINK(CONCATENATE("https://bte.dgcp.mtsss.gov.pt/documentos/",A53,"/",F53,"/",T53))</f>
        <v>https://bte.dgcp.mtsss.gov.pt/documentos/2026/5/00280040.pdf</v>
      </c>
    </row>
    <row r="54" spans="1:21">
      <c r="A54" s="11" t="str">
        <f t="shared" si="0"/>
        <v>2026</v>
      </c>
      <c r="B54" s="1" t="s">
        <v>286</v>
      </c>
      <c r="C54" s="2" t="s">
        <v>287</v>
      </c>
      <c r="D54" s="3" t="s">
        <v>288</v>
      </c>
      <c r="E54" s="3">
        <v>93</v>
      </c>
      <c r="F54" s="4" t="s">
        <v>277</v>
      </c>
      <c r="G54" s="5">
        <v>46061</v>
      </c>
      <c r="H54" s="5">
        <v>46062</v>
      </c>
      <c r="I54" s="6"/>
      <c r="J54" s="7"/>
      <c r="K54" s="6">
        <v>27204</v>
      </c>
      <c r="N54" s="3" t="s">
        <v>289</v>
      </c>
      <c r="Q54" t="s">
        <v>290</v>
      </c>
      <c r="R54" t="s">
        <v>291</v>
      </c>
      <c r="S54" s="8">
        <v>410110</v>
      </c>
      <c r="T54" s="10" t="str">
        <f t="shared" si="1"/>
        <v>00410110.pdf</v>
      </c>
      <c r="U54" s="9" t="str">
        <f>HYPERLINK(CONCATENATE("https://bte.dgcp.mtsss.gov.pt/documentos/",A54,"/",F54,"/",T54))</f>
        <v>https://bte.dgcp.mtsss.gov.pt/documentos/2026/5/00410110.pdf</v>
      </c>
    </row>
    <row r="55" spans="1:21">
      <c r="A55" s="11" t="str">
        <f t="shared" si="0"/>
        <v>2026</v>
      </c>
      <c r="B55" s="1" t="s">
        <v>292</v>
      </c>
      <c r="C55" s="2" t="s">
        <v>293</v>
      </c>
      <c r="D55" s="3" t="s">
        <v>294</v>
      </c>
      <c r="E55" s="3">
        <v>93</v>
      </c>
      <c r="F55" s="4" t="s">
        <v>277</v>
      </c>
      <c r="G55" s="5">
        <v>46061</v>
      </c>
      <c r="H55" s="5">
        <v>46062</v>
      </c>
      <c r="I55" s="6"/>
      <c r="J55" s="7"/>
      <c r="K55" s="6">
        <v>47205</v>
      </c>
      <c r="N55" s="3" t="s">
        <v>295</v>
      </c>
      <c r="Q55" t="s">
        <v>296</v>
      </c>
      <c r="R55" t="s">
        <v>297</v>
      </c>
      <c r="S55" s="8">
        <v>1110140</v>
      </c>
      <c r="T55" s="10" t="str">
        <f t="shared" si="1"/>
        <v>01110140.pdf</v>
      </c>
      <c r="U55" s="9" t="str">
        <f>HYPERLINK(CONCATENATE("https://bte.dgcp.mtsss.gov.pt/documentos/",A55,"/",F55,"/",T55))</f>
        <v>https://bte.dgcp.mtsss.gov.pt/documentos/2026/5/01110140.pdf</v>
      </c>
    </row>
    <row r="56" spans="1:21">
      <c r="A56" s="11" t="str">
        <f t="shared" si="0"/>
        <v>2026</v>
      </c>
      <c r="B56" s="1" t="s">
        <v>298</v>
      </c>
      <c r="C56" s="2" t="s">
        <v>299</v>
      </c>
      <c r="D56" s="3" t="s">
        <v>294</v>
      </c>
      <c r="E56" s="3">
        <v>93</v>
      </c>
      <c r="F56" s="4" t="s">
        <v>277</v>
      </c>
      <c r="G56" s="5">
        <v>46061</v>
      </c>
      <c r="H56" s="5">
        <v>46062</v>
      </c>
      <c r="I56" s="6"/>
      <c r="J56" s="7"/>
      <c r="K56" s="6">
        <v>47206</v>
      </c>
      <c r="N56" s="3" t="s">
        <v>300</v>
      </c>
      <c r="Q56" t="s">
        <v>296</v>
      </c>
      <c r="R56" t="s">
        <v>301</v>
      </c>
      <c r="S56" s="8">
        <v>1410169</v>
      </c>
      <c r="T56" s="10" t="str">
        <f t="shared" si="1"/>
        <v>01410169.pdf</v>
      </c>
      <c r="U56" s="9" t="str">
        <f>HYPERLINK(CONCATENATE("https://bte.dgcp.mtsss.gov.pt/documentos/",A56,"/",F56,"/",T56))</f>
        <v>https://bte.dgcp.mtsss.gov.pt/documentos/2026/5/01410169.pdf</v>
      </c>
    </row>
    <row r="57" spans="1:21">
      <c r="A57" s="11" t="str">
        <f t="shared" si="0"/>
        <v>2026</v>
      </c>
      <c r="B57" s="1" t="s">
        <v>302</v>
      </c>
      <c r="C57" s="2" t="s">
        <v>303</v>
      </c>
      <c r="D57" s="3" t="s">
        <v>294</v>
      </c>
      <c r="E57" s="3">
        <v>93</v>
      </c>
      <c r="F57" s="4" t="s">
        <v>277</v>
      </c>
      <c r="G57" s="5">
        <v>46061</v>
      </c>
      <c r="H57" s="5">
        <v>46062</v>
      </c>
      <c r="I57" s="6"/>
      <c r="J57" s="7"/>
      <c r="K57" s="6">
        <v>47207</v>
      </c>
      <c r="N57" s="3" t="s">
        <v>304</v>
      </c>
      <c r="Q57" t="s">
        <v>305</v>
      </c>
      <c r="R57" t="s">
        <v>306</v>
      </c>
      <c r="S57" s="8">
        <v>1700247</v>
      </c>
      <c r="T57" s="10" t="str">
        <f t="shared" si="1"/>
        <v>01700247.pdf</v>
      </c>
      <c r="U57" s="9" t="str">
        <f>HYPERLINK(CONCATENATE("https://bte.dgcp.mtsss.gov.pt/documentos/",A57,"/",F57,"/",T57))</f>
        <v>https://bte.dgcp.mtsss.gov.pt/documentos/2026/5/01700247.pdf</v>
      </c>
    </row>
    <row r="58" spans="1:21">
      <c r="A58" s="11" t="str">
        <f t="shared" si="0"/>
        <v>2026</v>
      </c>
      <c r="B58" s="1" t="s">
        <v>307</v>
      </c>
      <c r="C58" s="2" t="s">
        <v>308</v>
      </c>
      <c r="D58" s="3" t="s">
        <v>23</v>
      </c>
      <c r="E58" s="3">
        <v>93</v>
      </c>
      <c r="F58" s="4" t="s">
        <v>309</v>
      </c>
      <c r="G58" s="5">
        <v>46068</v>
      </c>
      <c r="H58" s="5">
        <v>46069</v>
      </c>
      <c r="I58" s="6"/>
      <c r="J58" s="7"/>
      <c r="K58" s="6">
        <v>27166</v>
      </c>
      <c r="L58" t="s">
        <v>310</v>
      </c>
      <c r="N58" s="3" t="s">
        <v>311</v>
      </c>
      <c r="Q58" t="s">
        <v>312</v>
      </c>
      <c r="S58" s="8">
        <v>40005</v>
      </c>
      <c r="T58" s="10" t="str">
        <f t="shared" si="1"/>
        <v>00040005.pdf</v>
      </c>
      <c r="U58" s="9" t="str">
        <f>HYPERLINK(CONCATENATE("https://bte.dgcp.mtsss.gov.pt/documentos/",A58,"/",F58,"/",T58))</f>
        <v>https://bte.dgcp.mtsss.gov.pt/documentos/2026/6/00040005.pdf</v>
      </c>
    </row>
    <row r="59" spans="1:21">
      <c r="A59" s="11" t="str">
        <f t="shared" si="0"/>
        <v>2026</v>
      </c>
      <c r="B59" s="1" t="s">
        <v>313</v>
      </c>
      <c r="C59" s="2" t="s">
        <v>314</v>
      </c>
      <c r="D59" s="3" t="s">
        <v>23</v>
      </c>
      <c r="E59" s="3">
        <v>93</v>
      </c>
      <c r="F59" s="4" t="s">
        <v>309</v>
      </c>
      <c r="G59" s="5">
        <v>46068</v>
      </c>
      <c r="H59" s="5">
        <v>46069</v>
      </c>
      <c r="I59" s="6"/>
      <c r="J59" s="7"/>
      <c r="K59" s="6">
        <v>26860</v>
      </c>
      <c r="L59" t="s">
        <v>315</v>
      </c>
      <c r="N59" s="3" t="s">
        <v>316</v>
      </c>
      <c r="Q59" t="s">
        <v>317</v>
      </c>
      <c r="S59" s="8">
        <v>60007</v>
      </c>
      <c r="T59" s="10" t="str">
        <f t="shared" si="1"/>
        <v>00060007.pdf</v>
      </c>
      <c r="U59" s="9" t="str">
        <f>HYPERLINK(CONCATENATE("https://bte.dgcp.mtsss.gov.pt/documentos/",A59,"/",F59,"/",T59))</f>
        <v>https://bte.dgcp.mtsss.gov.pt/documentos/2026/6/00060007.pdf</v>
      </c>
    </row>
    <row r="60" spans="1:21">
      <c r="A60" s="11" t="str">
        <f t="shared" si="0"/>
        <v>2026</v>
      </c>
      <c r="B60" s="1" t="s">
        <v>318</v>
      </c>
      <c r="C60" s="2" t="s">
        <v>319</v>
      </c>
      <c r="D60" s="3" t="s">
        <v>23</v>
      </c>
      <c r="E60" s="3">
        <v>93</v>
      </c>
      <c r="F60" s="4" t="s">
        <v>309</v>
      </c>
      <c r="G60" s="5">
        <v>46068</v>
      </c>
      <c r="H60" s="5">
        <v>46069</v>
      </c>
      <c r="I60" s="6"/>
      <c r="J60" s="7"/>
      <c r="K60" s="6">
        <v>24591</v>
      </c>
      <c r="L60" t="s">
        <v>320</v>
      </c>
      <c r="N60" s="3" t="s">
        <v>321</v>
      </c>
      <c r="Q60" t="s">
        <v>317</v>
      </c>
      <c r="S60" s="8">
        <v>80009</v>
      </c>
      <c r="T60" s="10" t="str">
        <f t="shared" si="1"/>
        <v>00080009.pdf</v>
      </c>
      <c r="U60" s="9" t="str">
        <f>HYPERLINK(CONCATENATE("https://bte.dgcp.mtsss.gov.pt/documentos/",A60,"/",F60,"/",T60))</f>
        <v>https://bte.dgcp.mtsss.gov.pt/documentos/2026/6/00080009.pdf</v>
      </c>
    </row>
    <row r="61" spans="1:21">
      <c r="A61" s="11" t="str">
        <f t="shared" si="0"/>
        <v>2026</v>
      </c>
      <c r="B61" s="1" t="s">
        <v>322</v>
      </c>
      <c r="C61" s="2" t="s">
        <v>323</v>
      </c>
      <c r="D61" s="3" t="s">
        <v>23</v>
      </c>
      <c r="E61" s="3">
        <v>93</v>
      </c>
      <c r="F61" s="4" t="s">
        <v>309</v>
      </c>
      <c r="G61" s="5">
        <v>46068</v>
      </c>
      <c r="H61" s="5">
        <v>46069</v>
      </c>
      <c r="I61" s="6"/>
      <c r="J61" s="7"/>
      <c r="K61" s="6">
        <v>26963</v>
      </c>
      <c r="L61" t="s">
        <v>324</v>
      </c>
      <c r="N61" s="3" t="s">
        <v>325</v>
      </c>
      <c r="Q61" t="s">
        <v>326</v>
      </c>
      <c r="S61" s="8">
        <v>100011</v>
      </c>
      <c r="T61" s="10" t="str">
        <f t="shared" si="1"/>
        <v>00100011.pdf</v>
      </c>
      <c r="U61" s="9" t="str">
        <f>HYPERLINK(CONCATENATE("https://bte.dgcp.mtsss.gov.pt/documentos/",A61,"/",F61,"/",T61))</f>
        <v>https://bte.dgcp.mtsss.gov.pt/documentos/2026/6/00100011.pdf</v>
      </c>
    </row>
    <row r="62" spans="1:21">
      <c r="A62" s="11" t="str">
        <f t="shared" si="0"/>
        <v>2026</v>
      </c>
      <c r="B62" s="1" t="s">
        <v>327</v>
      </c>
      <c r="C62" s="2" t="s">
        <v>328</v>
      </c>
      <c r="D62" s="3" t="s">
        <v>288</v>
      </c>
      <c r="E62" s="3">
        <v>93</v>
      </c>
      <c r="F62" s="4" t="s">
        <v>309</v>
      </c>
      <c r="G62" s="5">
        <v>46068</v>
      </c>
      <c r="H62" s="5">
        <v>46069</v>
      </c>
      <c r="I62" s="6"/>
      <c r="J62" s="7"/>
      <c r="K62" s="6">
        <v>27208</v>
      </c>
      <c r="N62" s="3" t="s">
        <v>329</v>
      </c>
      <c r="Q62" t="s">
        <v>330</v>
      </c>
      <c r="R62" t="s">
        <v>331</v>
      </c>
      <c r="S62" s="8">
        <v>120049</v>
      </c>
      <c r="T62" s="10" t="str">
        <f t="shared" si="1"/>
        <v>00120049.pdf</v>
      </c>
      <c r="U62" s="9" t="str">
        <f>HYPERLINK(CONCATENATE("https://bte.dgcp.mtsss.gov.pt/documentos/",A62,"/",F62,"/",T62))</f>
        <v>https://bte.dgcp.mtsss.gov.pt/documentos/2026/6/00120049.pdf</v>
      </c>
    </row>
    <row r="63" spans="1:21">
      <c r="A63" s="11" t="str">
        <f t="shared" si="0"/>
        <v>2026</v>
      </c>
      <c r="B63" s="1" t="s">
        <v>332</v>
      </c>
      <c r="C63" s="2" t="s">
        <v>333</v>
      </c>
      <c r="D63" s="3" t="s">
        <v>288</v>
      </c>
      <c r="E63" s="3">
        <v>93</v>
      </c>
      <c r="F63" s="4" t="s">
        <v>309</v>
      </c>
      <c r="G63" s="5">
        <v>46068</v>
      </c>
      <c r="H63" s="5">
        <v>46069</v>
      </c>
      <c r="I63" s="6"/>
      <c r="J63" s="7"/>
      <c r="K63" s="6">
        <v>27209</v>
      </c>
      <c r="N63" s="3" t="s">
        <v>334</v>
      </c>
      <c r="Q63" t="s">
        <v>335</v>
      </c>
      <c r="R63" t="s">
        <v>336</v>
      </c>
      <c r="S63" s="8">
        <v>500083</v>
      </c>
      <c r="T63" s="10" t="str">
        <f t="shared" si="1"/>
        <v>00500083.pdf</v>
      </c>
      <c r="U63" s="9" t="str">
        <f>HYPERLINK(CONCATENATE("https://bte.dgcp.mtsss.gov.pt/documentos/",A63,"/",F63,"/",T63))</f>
        <v>https://bte.dgcp.mtsss.gov.pt/documentos/2026/6/00500083.pdf</v>
      </c>
    </row>
    <row r="64" spans="1:21">
      <c r="A64" s="11" t="str">
        <f t="shared" si="0"/>
        <v>2026</v>
      </c>
      <c r="B64" s="1" t="s">
        <v>337</v>
      </c>
      <c r="C64" s="2" t="s">
        <v>338</v>
      </c>
      <c r="D64" s="3" t="s">
        <v>288</v>
      </c>
      <c r="E64" s="3">
        <v>93</v>
      </c>
      <c r="F64" s="4" t="s">
        <v>309</v>
      </c>
      <c r="G64" s="5">
        <v>46068</v>
      </c>
      <c r="H64" s="5">
        <v>46069</v>
      </c>
      <c r="I64" s="6"/>
      <c r="J64" s="7"/>
      <c r="K64" s="6">
        <v>27210</v>
      </c>
      <c r="N64" s="3" t="s">
        <v>339</v>
      </c>
      <c r="Q64" t="s">
        <v>335</v>
      </c>
      <c r="R64" t="s">
        <v>340</v>
      </c>
      <c r="S64" s="8">
        <v>840114</v>
      </c>
      <c r="T64" s="10" t="str">
        <f t="shared" si="1"/>
        <v>00840114.pdf</v>
      </c>
      <c r="U64" s="9" t="str">
        <f>HYPERLINK(CONCATENATE("https://bte.dgcp.mtsss.gov.pt/documentos/",A64,"/",F64,"/",T64))</f>
        <v>https://bte.dgcp.mtsss.gov.pt/documentos/2026/6/00840114.pdf</v>
      </c>
    </row>
    <row r="65" spans="1:21">
      <c r="A65" s="11" t="str">
        <f t="shared" si="0"/>
        <v>2026</v>
      </c>
      <c r="B65" s="1" t="s">
        <v>341</v>
      </c>
      <c r="C65" s="2" t="s">
        <v>342</v>
      </c>
      <c r="D65" s="3" t="s">
        <v>288</v>
      </c>
      <c r="E65" s="3">
        <v>93</v>
      </c>
      <c r="F65" s="4" t="s">
        <v>309</v>
      </c>
      <c r="G65" s="5">
        <v>46068</v>
      </c>
      <c r="H65" s="5">
        <v>46069</v>
      </c>
      <c r="I65" s="6"/>
      <c r="J65" s="7"/>
      <c r="K65" s="6">
        <v>27211</v>
      </c>
      <c r="N65" s="3" t="s">
        <v>343</v>
      </c>
      <c r="Q65" t="s">
        <v>344</v>
      </c>
      <c r="R65" t="s">
        <v>340</v>
      </c>
      <c r="S65" s="8">
        <v>1150145</v>
      </c>
      <c r="T65" s="10" t="str">
        <f t="shared" si="1"/>
        <v>01150145.pdf</v>
      </c>
      <c r="U65" s="9" t="str">
        <f>HYPERLINK(CONCATENATE("https://bte.dgcp.mtsss.gov.pt/documentos/",A65,"/",F65,"/",T65))</f>
        <v>https://bte.dgcp.mtsss.gov.pt/documentos/2026/6/01150145.pdf</v>
      </c>
    </row>
    <row r="66" spans="1:21">
      <c r="A66" s="11" t="str">
        <f t="shared" ref="A66:A129" si="2">RIGHT(B66,4)</f>
        <v>2026</v>
      </c>
      <c r="B66" s="1" t="s">
        <v>345</v>
      </c>
      <c r="C66" s="2" t="s">
        <v>346</v>
      </c>
      <c r="D66" s="3" t="s">
        <v>271</v>
      </c>
      <c r="E66" s="3">
        <v>93</v>
      </c>
      <c r="F66" s="4" t="s">
        <v>309</v>
      </c>
      <c r="G66" s="5">
        <v>46068</v>
      </c>
      <c r="H66" s="5">
        <v>46069</v>
      </c>
      <c r="I66" s="6"/>
      <c r="J66" s="7"/>
      <c r="K66" s="6">
        <v>26502</v>
      </c>
      <c r="L66" t="s">
        <v>347</v>
      </c>
      <c r="N66" s="3" t="s">
        <v>348</v>
      </c>
      <c r="Q66" t="s">
        <v>349</v>
      </c>
      <c r="R66" t="s">
        <v>350</v>
      </c>
      <c r="S66" s="8">
        <v>1460150</v>
      </c>
      <c r="T66" s="10" t="str">
        <f t="shared" ref="T66:T129" si="3">TEXT(S66, "00000000") &amp; ".pdf"</f>
        <v>01460150.pdf</v>
      </c>
      <c r="U66" s="9" t="str">
        <f>HYPERLINK(CONCATENATE("https://bte.dgcp.mtsss.gov.pt/documentos/",A66,"/",F66,"/",T66))</f>
        <v>https://bte.dgcp.mtsss.gov.pt/documentos/2026/6/01460150.pdf</v>
      </c>
    </row>
    <row r="67" spans="1:21">
      <c r="A67" s="11" t="str">
        <f t="shared" si="2"/>
        <v>2026</v>
      </c>
      <c r="B67" s="1" t="s">
        <v>351</v>
      </c>
      <c r="C67" s="2" t="s">
        <v>352</v>
      </c>
      <c r="D67" s="3" t="s">
        <v>271</v>
      </c>
      <c r="E67" s="3">
        <v>93</v>
      </c>
      <c r="F67" s="4" t="s">
        <v>309</v>
      </c>
      <c r="G67" s="5">
        <v>46068</v>
      </c>
      <c r="H67" s="5">
        <v>46069</v>
      </c>
      <c r="I67" s="6"/>
      <c r="J67" s="7"/>
      <c r="K67" s="6">
        <v>26703</v>
      </c>
      <c r="L67" t="s">
        <v>353</v>
      </c>
      <c r="N67" s="3" t="s">
        <v>354</v>
      </c>
      <c r="Q67" t="s">
        <v>355</v>
      </c>
      <c r="R67" t="s">
        <v>356</v>
      </c>
      <c r="S67" s="8">
        <v>1510154</v>
      </c>
      <c r="T67" s="10" t="str">
        <f t="shared" si="3"/>
        <v>01510154.pdf</v>
      </c>
      <c r="U67" s="9" t="str">
        <f>HYPERLINK(CONCATENATE("https://bte.dgcp.mtsss.gov.pt/documentos/",A67,"/",F67,"/",T67))</f>
        <v>https://bte.dgcp.mtsss.gov.pt/documentos/2026/6/01510154.pdf</v>
      </c>
    </row>
    <row r="68" spans="1:21">
      <c r="A68" s="11" t="str">
        <f t="shared" si="2"/>
        <v>2026</v>
      </c>
      <c r="B68" s="1" t="s">
        <v>357</v>
      </c>
      <c r="C68" s="2" t="s">
        <v>358</v>
      </c>
      <c r="D68" s="3" t="s">
        <v>271</v>
      </c>
      <c r="E68" s="3">
        <v>93</v>
      </c>
      <c r="F68" s="4" t="s">
        <v>309</v>
      </c>
      <c r="G68" s="5">
        <v>46068</v>
      </c>
      <c r="H68" s="5">
        <v>46069</v>
      </c>
      <c r="I68" s="6"/>
      <c r="J68" s="7"/>
      <c r="K68" s="6">
        <v>27041</v>
      </c>
      <c r="L68" t="s">
        <v>359</v>
      </c>
      <c r="N68" s="3" t="s">
        <v>360</v>
      </c>
      <c r="Q68" t="s">
        <v>361</v>
      </c>
      <c r="R68" t="s">
        <v>362</v>
      </c>
      <c r="S68" s="8">
        <v>1550156</v>
      </c>
      <c r="T68" s="10" t="str">
        <f t="shared" si="3"/>
        <v>01550156.pdf</v>
      </c>
      <c r="U68" s="9" t="str">
        <f>HYPERLINK(CONCATENATE("https://bte.dgcp.mtsss.gov.pt/documentos/",A68,"/",F68,"/",T68))</f>
        <v>https://bte.dgcp.mtsss.gov.pt/documentos/2026/6/01550156.pdf</v>
      </c>
    </row>
    <row r="69" spans="1:21">
      <c r="A69" s="11" t="str">
        <f t="shared" si="2"/>
        <v>2026</v>
      </c>
      <c r="B69" s="1" t="s">
        <v>363</v>
      </c>
      <c r="C69" s="2" t="s">
        <v>364</v>
      </c>
      <c r="D69" s="3" t="s">
        <v>271</v>
      </c>
      <c r="E69" s="3">
        <v>93</v>
      </c>
      <c r="F69" s="4" t="s">
        <v>309</v>
      </c>
      <c r="G69" s="5">
        <v>46068</v>
      </c>
      <c r="H69" s="5">
        <v>46069</v>
      </c>
      <c r="I69" s="6"/>
      <c r="J69" s="7"/>
      <c r="K69" s="6">
        <v>26763</v>
      </c>
      <c r="L69" t="s">
        <v>365</v>
      </c>
      <c r="N69" s="3" t="s">
        <v>366</v>
      </c>
      <c r="Q69" t="s">
        <v>367</v>
      </c>
      <c r="R69" t="s">
        <v>368</v>
      </c>
      <c r="S69" s="8">
        <v>1570164</v>
      </c>
      <c r="T69" s="10" t="str">
        <f t="shared" si="3"/>
        <v>01570164.pdf</v>
      </c>
      <c r="U69" s="9" t="str">
        <f>HYPERLINK(CONCATENATE("https://bte.dgcp.mtsss.gov.pt/documentos/",A69,"/",F69,"/",T69))</f>
        <v>https://bte.dgcp.mtsss.gov.pt/documentos/2026/6/01570164.pdf</v>
      </c>
    </row>
    <row r="70" spans="1:21">
      <c r="A70" s="11" t="str">
        <f t="shared" si="2"/>
        <v>2026</v>
      </c>
      <c r="B70" s="1" t="s">
        <v>369</v>
      </c>
      <c r="C70" s="2" t="s">
        <v>370</v>
      </c>
      <c r="D70" s="3" t="s">
        <v>105</v>
      </c>
      <c r="E70" s="3">
        <v>93</v>
      </c>
      <c r="F70" s="4" t="s">
        <v>309</v>
      </c>
      <c r="G70" s="5">
        <v>46068</v>
      </c>
      <c r="H70" s="5">
        <v>46069</v>
      </c>
      <c r="I70" s="6"/>
      <c r="J70" s="7"/>
      <c r="K70" s="6">
        <v>46177</v>
      </c>
      <c r="N70" s="3" t="s">
        <v>371</v>
      </c>
      <c r="Q70" t="s">
        <v>372</v>
      </c>
      <c r="R70" t="s">
        <v>373</v>
      </c>
      <c r="S70" s="8">
        <v>1650220</v>
      </c>
      <c r="T70" s="10" t="str">
        <f t="shared" si="3"/>
        <v>01650220.pdf</v>
      </c>
      <c r="U70" s="9" t="str">
        <f>HYPERLINK(CONCATENATE("https://bte.dgcp.mtsss.gov.pt/documentos/",A70,"/",F70,"/",T70))</f>
        <v>https://bte.dgcp.mtsss.gov.pt/documentos/2026/6/01650220.pdf</v>
      </c>
    </row>
    <row r="71" spans="1:21">
      <c r="A71" s="11" t="str">
        <f t="shared" si="2"/>
        <v>2026</v>
      </c>
      <c r="B71" s="1" t="s">
        <v>374</v>
      </c>
      <c r="C71" s="2" t="s">
        <v>375</v>
      </c>
      <c r="D71" s="3" t="s">
        <v>105</v>
      </c>
      <c r="E71" s="3">
        <v>93</v>
      </c>
      <c r="F71" s="4" t="s">
        <v>309</v>
      </c>
      <c r="G71" s="5">
        <v>46068</v>
      </c>
      <c r="H71" s="5">
        <v>46069</v>
      </c>
      <c r="I71" s="6"/>
      <c r="J71" s="7"/>
      <c r="K71" s="6">
        <v>44980</v>
      </c>
      <c r="N71" s="3" t="s">
        <v>376</v>
      </c>
      <c r="Q71" t="s">
        <v>113</v>
      </c>
      <c r="R71" t="s">
        <v>377</v>
      </c>
      <c r="S71" s="8">
        <v>2210286</v>
      </c>
      <c r="T71" s="10" t="str">
        <f t="shared" si="3"/>
        <v>02210286.pdf</v>
      </c>
      <c r="U71" s="9" t="str">
        <f>HYPERLINK(CONCATENATE("https://bte.dgcp.mtsss.gov.pt/documentos/",A71,"/",F71,"/",T71))</f>
        <v>https://bte.dgcp.mtsss.gov.pt/documentos/2026/6/02210286.pdf</v>
      </c>
    </row>
    <row r="72" spans="1:21">
      <c r="A72" s="11" t="str">
        <f t="shared" si="2"/>
        <v>2026</v>
      </c>
      <c r="B72" s="1" t="s">
        <v>378</v>
      </c>
      <c r="C72" s="2" t="s">
        <v>379</v>
      </c>
      <c r="D72" s="3" t="s">
        <v>105</v>
      </c>
      <c r="E72" s="3">
        <v>93</v>
      </c>
      <c r="F72" s="4" t="s">
        <v>309</v>
      </c>
      <c r="G72" s="5">
        <v>46068</v>
      </c>
      <c r="H72" s="5">
        <v>46069</v>
      </c>
      <c r="I72" s="6"/>
      <c r="J72" s="7"/>
      <c r="K72" s="6">
        <v>46942</v>
      </c>
      <c r="L72" t="s">
        <v>380</v>
      </c>
      <c r="N72" s="3" t="s">
        <v>381</v>
      </c>
      <c r="Q72" t="s">
        <v>382</v>
      </c>
      <c r="R72" t="s">
        <v>383</v>
      </c>
      <c r="S72" s="8">
        <v>2870289</v>
      </c>
      <c r="T72" s="10" t="str">
        <f t="shared" si="3"/>
        <v>02870289.pdf</v>
      </c>
      <c r="U72" s="9" t="str">
        <f>HYPERLINK(CONCATENATE("https://bte.dgcp.mtsss.gov.pt/documentos/",A72,"/",F72,"/",T72))</f>
        <v>https://bte.dgcp.mtsss.gov.pt/documentos/2026/6/02870289.pdf</v>
      </c>
    </row>
    <row r="73" spans="1:21">
      <c r="A73" s="11" t="str">
        <f t="shared" si="2"/>
        <v>2026</v>
      </c>
      <c r="B73" s="1" t="s">
        <v>384</v>
      </c>
      <c r="C73" s="2" t="s">
        <v>385</v>
      </c>
      <c r="D73" s="3" t="s">
        <v>99</v>
      </c>
      <c r="E73" s="3">
        <v>93</v>
      </c>
      <c r="F73" s="4" t="s">
        <v>386</v>
      </c>
      <c r="G73" s="5">
        <v>46075</v>
      </c>
      <c r="H73" s="5">
        <v>46076</v>
      </c>
      <c r="I73" s="6"/>
      <c r="J73" s="7"/>
      <c r="K73" s="6"/>
      <c r="N73" s="3"/>
      <c r="Q73" t="s">
        <v>193</v>
      </c>
      <c r="R73" t="s">
        <v>387</v>
      </c>
      <c r="S73" s="8">
        <v>40016</v>
      </c>
      <c r="T73" s="10" t="str">
        <f t="shared" si="3"/>
        <v>00040016.pdf</v>
      </c>
      <c r="U73" s="9" t="str">
        <f>HYPERLINK(CONCATENATE("https://bte.dgcp.mtsss.gov.pt/documentos/",A73,"/",F73,"/",T73))</f>
        <v>https://bte.dgcp.mtsss.gov.pt/documentos/2026/7/00040016.pdf</v>
      </c>
    </row>
    <row r="74" spans="1:21">
      <c r="A74" s="11" t="str">
        <f t="shared" si="2"/>
        <v>2026</v>
      </c>
      <c r="B74" s="1" t="s">
        <v>388</v>
      </c>
      <c r="C74" s="2" t="s">
        <v>389</v>
      </c>
      <c r="D74" s="3" t="s">
        <v>99</v>
      </c>
      <c r="E74" s="3">
        <v>93</v>
      </c>
      <c r="F74" s="4" t="s">
        <v>386</v>
      </c>
      <c r="G74" s="5">
        <v>46075</v>
      </c>
      <c r="H74" s="5">
        <v>46076</v>
      </c>
      <c r="I74" s="6"/>
      <c r="J74" s="7"/>
      <c r="K74" s="6"/>
      <c r="N74" s="3"/>
      <c r="Q74" t="s">
        <v>193</v>
      </c>
      <c r="R74" t="s">
        <v>390</v>
      </c>
      <c r="S74" s="8">
        <v>170032</v>
      </c>
      <c r="T74" s="10" t="str">
        <f t="shared" si="3"/>
        <v>00170032.pdf</v>
      </c>
      <c r="U74" s="9" t="str">
        <f>HYPERLINK(CONCATENATE("https://bte.dgcp.mtsss.gov.pt/documentos/",A74,"/",F74,"/",T74))</f>
        <v>https://bte.dgcp.mtsss.gov.pt/documentos/2026/7/00170032.pdf</v>
      </c>
    </row>
    <row r="75" spans="1:21">
      <c r="A75" s="11" t="str">
        <f t="shared" si="2"/>
        <v>2026</v>
      </c>
      <c r="B75" s="1" t="s">
        <v>391</v>
      </c>
      <c r="C75" s="2" t="s">
        <v>392</v>
      </c>
      <c r="D75" s="3" t="s">
        <v>271</v>
      </c>
      <c r="E75" s="3">
        <v>93</v>
      </c>
      <c r="F75" s="4" t="s">
        <v>386</v>
      </c>
      <c r="G75" s="5">
        <v>46075</v>
      </c>
      <c r="H75" s="5">
        <v>46076</v>
      </c>
      <c r="I75" s="6"/>
      <c r="J75" s="7"/>
      <c r="K75" s="6">
        <v>26577</v>
      </c>
      <c r="L75" t="s">
        <v>393</v>
      </c>
      <c r="N75" s="3" t="s">
        <v>394</v>
      </c>
      <c r="Q75" t="s">
        <v>395</v>
      </c>
      <c r="R75" t="s">
        <v>396</v>
      </c>
      <c r="S75" s="8">
        <v>330036</v>
      </c>
      <c r="T75" s="10" t="str">
        <f t="shared" si="3"/>
        <v>00330036.pdf</v>
      </c>
      <c r="U75" s="9" t="str">
        <f>HYPERLINK(CONCATENATE("https://bte.dgcp.mtsss.gov.pt/documentos/",A75,"/",F75,"/",T75))</f>
        <v>https://bte.dgcp.mtsss.gov.pt/documentos/2026/7/00330036.pdf</v>
      </c>
    </row>
    <row r="76" spans="1:21">
      <c r="A76" s="11" t="str">
        <f t="shared" si="2"/>
        <v>2026</v>
      </c>
      <c r="B76" s="1" t="s">
        <v>397</v>
      </c>
      <c r="C76" s="2" t="s">
        <v>398</v>
      </c>
      <c r="D76" s="3" t="s">
        <v>271</v>
      </c>
      <c r="E76" s="3">
        <v>93</v>
      </c>
      <c r="F76" s="4" t="s">
        <v>386</v>
      </c>
      <c r="G76" s="5">
        <v>46075</v>
      </c>
      <c r="H76" s="5">
        <v>46076</v>
      </c>
      <c r="I76" s="6"/>
      <c r="J76" s="7"/>
      <c r="K76" s="6">
        <v>26761</v>
      </c>
      <c r="L76" t="s">
        <v>399</v>
      </c>
      <c r="N76" s="3" t="s">
        <v>400</v>
      </c>
      <c r="Q76" t="s">
        <v>361</v>
      </c>
      <c r="R76" t="s">
        <v>401</v>
      </c>
      <c r="S76" s="8">
        <v>370040</v>
      </c>
      <c r="T76" s="10" t="str">
        <f t="shared" si="3"/>
        <v>00370040.pdf</v>
      </c>
      <c r="U76" s="9" t="str">
        <f>HYPERLINK(CONCATENATE("https://bte.dgcp.mtsss.gov.pt/documentos/",A76,"/",F76,"/",T76))</f>
        <v>https://bte.dgcp.mtsss.gov.pt/documentos/2026/7/00370040.pdf</v>
      </c>
    </row>
    <row r="77" spans="1:21">
      <c r="A77" s="11" t="str">
        <f t="shared" si="2"/>
        <v>2026</v>
      </c>
      <c r="B77" s="1" t="s">
        <v>402</v>
      </c>
      <c r="C77" s="2" t="s">
        <v>403</v>
      </c>
      <c r="D77" s="3" t="s">
        <v>271</v>
      </c>
      <c r="E77" s="3">
        <v>93</v>
      </c>
      <c r="F77" s="4" t="s">
        <v>386</v>
      </c>
      <c r="G77" s="5">
        <v>46075</v>
      </c>
      <c r="H77" s="5">
        <v>46076</v>
      </c>
      <c r="I77" s="6"/>
      <c r="J77" s="7"/>
      <c r="K77" s="6">
        <v>26763</v>
      </c>
      <c r="L77" t="s">
        <v>365</v>
      </c>
      <c r="N77" s="3" t="s">
        <v>366</v>
      </c>
      <c r="Q77" t="s">
        <v>367</v>
      </c>
      <c r="R77" t="s">
        <v>404</v>
      </c>
      <c r="S77" s="8">
        <v>410048</v>
      </c>
      <c r="T77" s="10" t="str">
        <f t="shared" si="3"/>
        <v>00410048.pdf</v>
      </c>
      <c r="U77" s="9" t="str">
        <f>HYPERLINK(CONCATENATE("https://bte.dgcp.mtsss.gov.pt/documentos/",A77,"/",F77,"/",T77))</f>
        <v>https://bte.dgcp.mtsss.gov.pt/documentos/2026/7/00410048.pdf</v>
      </c>
    </row>
    <row r="78" spans="1:21">
      <c r="A78" s="11" t="str">
        <f t="shared" si="2"/>
        <v>2026</v>
      </c>
      <c r="B78" s="1" t="s">
        <v>405</v>
      </c>
      <c r="C78" s="2" t="s">
        <v>406</v>
      </c>
      <c r="D78" s="3" t="s">
        <v>105</v>
      </c>
      <c r="E78" s="3">
        <v>93</v>
      </c>
      <c r="F78" s="4" t="s">
        <v>386</v>
      </c>
      <c r="G78" s="5">
        <v>46075</v>
      </c>
      <c r="H78" s="5">
        <v>46076</v>
      </c>
      <c r="I78" s="6"/>
      <c r="J78" s="7"/>
      <c r="K78" s="6">
        <v>46670</v>
      </c>
      <c r="L78" t="s">
        <v>407</v>
      </c>
      <c r="N78" s="3" t="s">
        <v>408</v>
      </c>
      <c r="Q78" t="s">
        <v>409</v>
      </c>
      <c r="R78" t="s">
        <v>410</v>
      </c>
      <c r="S78" s="8">
        <v>490056</v>
      </c>
      <c r="T78" s="10" t="str">
        <f t="shared" si="3"/>
        <v>00490056.pdf</v>
      </c>
      <c r="U78" s="9" t="str">
        <f>HYPERLINK(CONCATENATE("https://bte.dgcp.mtsss.gov.pt/documentos/",A78,"/",F78,"/",T78))</f>
        <v>https://bte.dgcp.mtsss.gov.pt/documentos/2026/7/00490056.pdf</v>
      </c>
    </row>
    <row r="79" spans="1:21">
      <c r="A79" s="11" t="str">
        <f t="shared" si="2"/>
        <v>2026</v>
      </c>
      <c r="B79" s="1" t="s">
        <v>411</v>
      </c>
      <c r="C79" s="2" t="s">
        <v>412</v>
      </c>
      <c r="D79" s="3" t="s">
        <v>23</v>
      </c>
      <c r="E79" s="3">
        <v>93</v>
      </c>
      <c r="F79" s="4" t="s">
        <v>413</v>
      </c>
      <c r="G79" s="5">
        <v>46081</v>
      </c>
      <c r="H79" s="5">
        <v>46083</v>
      </c>
      <c r="I79" s="6"/>
      <c r="J79" s="7"/>
      <c r="K79" s="6">
        <v>27159</v>
      </c>
      <c r="L79" t="s">
        <v>414</v>
      </c>
      <c r="N79" s="3" t="s">
        <v>415</v>
      </c>
      <c r="Q79" t="s">
        <v>27</v>
      </c>
      <c r="S79" s="8">
        <v>60007</v>
      </c>
      <c r="T79" s="10" t="str">
        <f t="shared" si="3"/>
        <v>00060007.pdf</v>
      </c>
      <c r="U79" s="9" t="str">
        <f>HYPERLINK(CONCATENATE("https://bte.dgcp.mtsss.gov.pt/documentos/",A79,"/",F79,"/",T79))</f>
        <v>https://bte.dgcp.mtsss.gov.pt/documentos/2026/8/00060007.pdf</v>
      </c>
    </row>
    <row r="80" spans="1:21">
      <c r="A80" s="11" t="str">
        <f t="shared" si="2"/>
        <v>2026</v>
      </c>
      <c r="B80" s="1" t="s">
        <v>416</v>
      </c>
      <c r="C80" s="2" t="s">
        <v>417</v>
      </c>
      <c r="D80" s="3" t="s">
        <v>23</v>
      </c>
      <c r="E80" s="3">
        <v>93</v>
      </c>
      <c r="F80" s="4" t="s">
        <v>413</v>
      </c>
      <c r="G80" s="5">
        <v>46081</v>
      </c>
      <c r="H80" s="5">
        <v>46083</v>
      </c>
      <c r="I80" s="6"/>
      <c r="J80" s="7"/>
      <c r="K80" s="6">
        <v>17070</v>
      </c>
      <c r="L80" t="s">
        <v>418</v>
      </c>
      <c r="N80" s="3" t="s">
        <v>419</v>
      </c>
      <c r="Q80" t="s">
        <v>420</v>
      </c>
      <c r="S80" s="8">
        <v>80009</v>
      </c>
      <c r="T80" s="10" t="str">
        <f t="shared" si="3"/>
        <v>00080009.pdf</v>
      </c>
      <c r="U80" s="9" t="str">
        <f>HYPERLINK(CONCATENATE("https://bte.dgcp.mtsss.gov.pt/documentos/",A80,"/",F80,"/",T80))</f>
        <v>https://bte.dgcp.mtsss.gov.pt/documentos/2026/8/00080009.pdf</v>
      </c>
    </row>
    <row r="81" spans="1:21">
      <c r="A81" s="11" t="str">
        <f t="shared" si="2"/>
        <v>2026</v>
      </c>
      <c r="B81" s="1" t="s">
        <v>421</v>
      </c>
      <c r="C81" s="2" t="s">
        <v>422</v>
      </c>
      <c r="D81" s="3" t="s">
        <v>23</v>
      </c>
      <c r="E81" s="3">
        <v>93</v>
      </c>
      <c r="F81" s="4" t="s">
        <v>413</v>
      </c>
      <c r="G81" s="5">
        <v>46081</v>
      </c>
      <c r="H81" s="5">
        <v>46083</v>
      </c>
      <c r="I81" s="6"/>
      <c r="J81" s="7"/>
      <c r="K81" s="6">
        <v>26262</v>
      </c>
      <c r="L81" t="s">
        <v>423</v>
      </c>
      <c r="N81" s="3" t="s">
        <v>217</v>
      </c>
      <c r="Q81" t="s">
        <v>218</v>
      </c>
      <c r="S81" s="8">
        <v>100011</v>
      </c>
      <c r="T81" s="10" t="str">
        <f t="shared" si="3"/>
        <v>00100011.pdf</v>
      </c>
      <c r="U81" s="9" t="str">
        <f>HYPERLINK(CONCATENATE("https://bte.dgcp.mtsss.gov.pt/documentos/",A81,"/",F81,"/",T81))</f>
        <v>https://bte.dgcp.mtsss.gov.pt/documentos/2026/8/00100011.pdf</v>
      </c>
    </row>
    <row r="82" spans="1:21">
      <c r="A82" s="11" t="str">
        <f t="shared" si="2"/>
        <v>2026</v>
      </c>
      <c r="B82" s="1" t="s">
        <v>424</v>
      </c>
      <c r="C82" s="2" t="s">
        <v>425</v>
      </c>
      <c r="D82" s="3" t="s">
        <v>23</v>
      </c>
      <c r="E82" s="3">
        <v>93</v>
      </c>
      <c r="F82" s="4" t="s">
        <v>413</v>
      </c>
      <c r="G82" s="5">
        <v>46081</v>
      </c>
      <c r="H82" s="5">
        <v>46083</v>
      </c>
      <c r="I82" s="6"/>
      <c r="J82" s="7"/>
      <c r="K82" s="6">
        <v>26861</v>
      </c>
      <c r="L82" t="s">
        <v>426</v>
      </c>
      <c r="N82" s="3" t="s">
        <v>427</v>
      </c>
      <c r="Q82" t="s">
        <v>317</v>
      </c>
      <c r="S82" s="8">
        <v>120013</v>
      </c>
      <c r="T82" s="10" t="str">
        <f t="shared" si="3"/>
        <v>00120013.pdf</v>
      </c>
      <c r="U82" s="9" t="str">
        <f>HYPERLINK(CONCATENATE("https://bte.dgcp.mtsss.gov.pt/documentos/",A82,"/",F82,"/",T82))</f>
        <v>https://bte.dgcp.mtsss.gov.pt/documentos/2026/8/00120013.pdf</v>
      </c>
    </row>
    <row r="83" spans="1:21">
      <c r="A83" s="11" t="str">
        <f t="shared" si="2"/>
        <v>2026</v>
      </c>
      <c r="B83" s="1" t="s">
        <v>428</v>
      </c>
      <c r="C83" s="2" t="s">
        <v>429</v>
      </c>
      <c r="D83" s="3" t="s">
        <v>23</v>
      </c>
      <c r="E83" s="3">
        <v>93</v>
      </c>
      <c r="F83" s="4" t="s">
        <v>413</v>
      </c>
      <c r="G83" s="5">
        <v>46081</v>
      </c>
      <c r="H83" s="5">
        <v>46083</v>
      </c>
      <c r="I83" s="6"/>
      <c r="J83" s="7"/>
      <c r="K83" s="6">
        <v>26862</v>
      </c>
      <c r="L83" t="s">
        <v>430</v>
      </c>
      <c r="N83" s="3" t="s">
        <v>431</v>
      </c>
      <c r="Q83" t="s">
        <v>317</v>
      </c>
      <c r="S83" s="8">
        <v>140015</v>
      </c>
      <c r="T83" s="10" t="str">
        <f t="shared" si="3"/>
        <v>00140015.pdf</v>
      </c>
      <c r="U83" s="9" t="str">
        <f>HYPERLINK(CONCATENATE("https://bte.dgcp.mtsss.gov.pt/documentos/",A83,"/",F83,"/",T83))</f>
        <v>https://bte.dgcp.mtsss.gov.pt/documentos/2026/8/00140015.pdf</v>
      </c>
    </row>
    <row r="84" spans="1:21">
      <c r="A84" s="11" t="str">
        <f t="shared" si="2"/>
        <v>2026</v>
      </c>
      <c r="B84" s="1" t="s">
        <v>432</v>
      </c>
      <c r="C84" s="2" t="s">
        <v>433</v>
      </c>
      <c r="D84" s="3" t="s">
        <v>23</v>
      </c>
      <c r="E84" s="3">
        <v>93</v>
      </c>
      <c r="F84" s="4" t="s">
        <v>413</v>
      </c>
      <c r="G84" s="5">
        <v>46081</v>
      </c>
      <c r="H84" s="5">
        <v>46083</v>
      </c>
      <c r="I84" s="6"/>
      <c r="J84" s="7"/>
      <c r="K84" s="6">
        <v>47002</v>
      </c>
      <c r="L84" t="s">
        <v>434</v>
      </c>
      <c r="N84" s="3" t="s">
        <v>435</v>
      </c>
      <c r="Q84" t="s">
        <v>436</v>
      </c>
      <c r="S84" s="8">
        <v>160017</v>
      </c>
      <c r="T84" s="10" t="str">
        <f t="shared" si="3"/>
        <v>00160017.pdf</v>
      </c>
      <c r="U84" s="9" t="str">
        <f>HYPERLINK(CONCATENATE("https://bte.dgcp.mtsss.gov.pt/documentos/",A84,"/",F84,"/",T84))</f>
        <v>https://bte.dgcp.mtsss.gov.pt/documentos/2026/8/00160017.pdf</v>
      </c>
    </row>
    <row r="85" spans="1:21">
      <c r="A85" s="11" t="str">
        <f t="shared" si="2"/>
        <v>2026</v>
      </c>
      <c r="B85" s="1" t="s">
        <v>437</v>
      </c>
      <c r="C85" s="2" t="s">
        <v>438</v>
      </c>
      <c r="D85" s="3" t="s">
        <v>23</v>
      </c>
      <c r="E85" s="3">
        <v>93</v>
      </c>
      <c r="F85" s="4" t="s">
        <v>413</v>
      </c>
      <c r="G85" s="5">
        <v>46081</v>
      </c>
      <c r="H85" s="5">
        <v>46083</v>
      </c>
      <c r="I85" s="6"/>
      <c r="J85" s="7"/>
      <c r="K85" s="6">
        <v>27075</v>
      </c>
      <c r="L85" t="s">
        <v>439</v>
      </c>
      <c r="N85" s="3" t="s">
        <v>440</v>
      </c>
      <c r="Q85" t="s">
        <v>441</v>
      </c>
      <c r="S85" s="8">
        <v>180019</v>
      </c>
      <c r="T85" s="10" t="str">
        <f t="shared" si="3"/>
        <v>00180019.pdf</v>
      </c>
      <c r="U85" s="9" t="str">
        <f>HYPERLINK(CONCATENATE("https://bte.dgcp.mtsss.gov.pt/documentos/",A85,"/",F85,"/",T85))</f>
        <v>https://bte.dgcp.mtsss.gov.pt/documentos/2026/8/00180019.pdf</v>
      </c>
    </row>
    <row r="86" spans="1:21">
      <c r="A86" s="11" t="str">
        <f t="shared" si="2"/>
        <v>2026</v>
      </c>
      <c r="B86" s="1" t="s">
        <v>442</v>
      </c>
      <c r="C86" s="2" t="s">
        <v>443</v>
      </c>
      <c r="D86" s="3" t="s">
        <v>288</v>
      </c>
      <c r="E86" s="3">
        <v>93</v>
      </c>
      <c r="F86" s="4" t="s">
        <v>413</v>
      </c>
      <c r="G86" s="5">
        <v>46081</v>
      </c>
      <c r="H86" s="5">
        <v>46083</v>
      </c>
      <c r="I86" s="6"/>
      <c r="J86" s="7"/>
      <c r="K86" s="6">
        <v>27212</v>
      </c>
      <c r="N86" s="3"/>
      <c r="Q86" t="s">
        <v>444</v>
      </c>
      <c r="R86" t="s">
        <v>445</v>
      </c>
      <c r="S86" s="8">
        <v>200037</v>
      </c>
      <c r="T86" s="10" t="str">
        <f t="shared" si="3"/>
        <v>00200037.pdf</v>
      </c>
      <c r="U86" s="9" t="str">
        <f>HYPERLINK(CONCATENATE("https://bte.dgcp.mtsss.gov.pt/documentos/",A86,"/",F86,"/",T86))</f>
        <v>https://bte.dgcp.mtsss.gov.pt/documentos/2026/8/00200037.pdf</v>
      </c>
    </row>
    <row r="87" spans="1:21">
      <c r="A87" s="11" t="str">
        <f t="shared" si="2"/>
        <v>2026</v>
      </c>
      <c r="B87" s="1" t="s">
        <v>446</v>
      </c>
      <c r="C87" s="2" t="s">
        <v>447</v>
      </c>
      <c r="D87" s="3" t="s">
        <v>99</v>
      </c>
      <c r="E87" s="3">
        <v>93</v>
      </c>
      <c r="F87" s="4" t="s">
        <v>448</v>
      </c>
      <c r="G87" s="5">
        <v>46089</v>
      </c>
      <c r="H87" s="5">
        <v>46090</v>
      </c>
      <c r="I87" s="6"/>
      <c r="J87" s="7"/>
      <c r="K87" s="6"/>
      <c r="N87" s="3"/>
      <c r="Q87" t="s">
        <v>193</v>
      </c>
      <c r="R87" t="s">
        <v>449</v>
      </c>
      <c r="S87" s="8">
        <v>40014</v>
      </c>
      <c r="T87" s="10" t="str">
        <f t="shared" si="3"/>
        <v>00040014.pdf</v>
      </c>
      <c r="U87" s="9" t="str">
        <f>HYPERLINK(CONCATENATE("https://bte.dgcp.mtsss.gov.pt/documentos/",A87,"/",F87,"/",T87))</f>
        <v>https://bte.dgcp.mtsss.gov.pt/documentos/2026/9/00040014.pdf</v>
      </c>
    </row>
    <row r="88" spans="1:21">
      <c r="A88" s="11" t="str">
        <f t="shared" si="2"/>
        <v>2026</v>
      </c>
      <c r="B88" s="1" t="s">
        <v>450</v>
      </c>
      <c r="C88" s="2" t="s">
        <v>451</v>
      </c>
      <c r="D88" s="3" t="s">
        <v>99</v>
      </c>
      <c r="E88" s="3">
        <v>93</v>
      </c>
      <c r="F88" s="4" t="s">
        <v>448</v>
      </c>
      <c r="G88" s="5">
        <v>46089</v>
      </c>
      <c r="H88" s="5">
        <v>46090</v>
      </c>
      <c r="I88" s="6"/>
      <c r="J88" s="7"/>
      <c r="K88" s="6"/>
      <c r="N88" s="3"/>
      <c r="Q88" t="s">
        <v>193</v>
      </c>
      <c r="R88" t="s">
        <v>452</v>
      </c>
      <c r="S88" s="8">
        <v>150024</v>
      </c>
      <c r="T88" s="10" t="str">
        <f t="shared" si="3"/>
        <v>00150024.pdf</v>
      </c>
      <c r="U88" s="9" t="str">
        <f>HYPERLINK(CONCATENATE("https://bte.dgcp.mtsss.gov.pt/documentos/",A88,"/",F88,"/",T88))</f>
        <v>https://bte.dgcp.mtsss.gov.pt/documentos/2026/9/00150024.pdf</v>
      </c>
    </row>
    <row r="89" spans="1:21">
      <c r="A89" s="11" t="str">
        <f t="shared" si="2"/>
        <v>2026</v>
      </c>
      <c r="B89" s="1" t="s">
        <v>453</v>
      </c>
      <c r="C89" s="2" t="s">
        <v>454</v>
      </c>
      <c r="D89" s="3" t="s">
        <v>99</v>
      </c>
      <c r="E89" s="3">
        <v>93</v>
      </c>
      <c r="F89" s="4" t="s">
        <v>448</v>
      </c>
      <c r="G89" s="5">
        <v>46089</v>
      </c>
      <c r="H89" s="5">
        <v>46090</v>
      </c>
      <c r="I89" s="6"/>
      <c r="J89" s="7"/>
      <c r="K89" s="6"/>
      <c r="N89" s="3" t="s">
        <v>455</v>
      </c>
      <c r="Q89" t="s">
        <v>193</v>
      </c>
      <c r="R89" t="s">
        <v>456</v>
      </c>
      <c r="S89" s="8">
        <v>250034</v>
      </c>
      <c r="T89" s="10" t="str">
        <f t="shared" si="3"/>
        <v>00250034.pdf</v>
      </c>
      <c r="U89" s="9" t="str">
        <f>HYPERLINK(CONCATENATE("https://bte.dgcp.mtsss.gov.pt/documentos/",A89,"/",F89,"/",T89))</f>
        <v>https://bte.dgcp.mtsss.gov.pt/documentos/2026/9/00250034.pdf</v>
      </c>
    </row>
    <row r="90" spans="1:21">
      <c r="A90" s="11" t="str">
        <f t="shared" si="2"/>
        <v>2026</v>
      </c>
      <c r="B90" s="1" t="s">
        <v>457</v>
      </c>
      <c r="C90" s="2" t="s">
        <v>458</v>
      </c>
      <c r="D90" s="3" t="s">
        <v>99</v>
      </c>
      <c r="E90" s="3">
        <v>93</v>
      </c>
      <c r="F90" s="4" t="s">
        <v>448</v>
      </c>
      <c r="G90" s="5">
        <v>46089</v>
      </c>
      <c r="H90" s="5">
        <v>46090</v>
      </c>
      <c r="I90" s="6"/>
      <c r="J90" s="7"/>
      <c r="K90" s="6"/>
      <c r="N90" s="3"/>
      <c r="Q90" t="s">
        <v>193</v>
      </c>
      <c r="R90" t="s">
        <v>459</v>
      </c>
      <c r="S90" s="8">
        <v>350050</v>
      </c>
      <c r="T90" s="10" t="str">
        <f t="shared" si="3"/>
        <v>00350050.pdf</v>
      </c>
      <c r="U90" s="9" t="str">
        <f>HYPERLINK(CONCATENATE("https://bte.dgcp.mtsss.gov.pt/documentos/",A90,"/",F90,"/",T90))</f>
        <v>https://bte.dgcp.mtsss.gov.pt/documentos/2026/9/00350050.pdf</v>
      </c>
    </row>
    <row r="91" spans="1:21">
      <c r="A91" s="11" t="str">
        <f t="shared" si="2"/>
        <v>2026</v>
      </c>
      <c r="B91" s="1" t="s">
        <v>460</v>
      </c>
      <c r="C91" s="2" t="s">
        <v>461</v>
      </c>
      <c r="D91" s="3" t="s">
        <v>99</v>
      </c>
      <c r="E91" s="3">
        <v>93</v>
      </c>
      <c r="F91" s="4" t="s">
        <v>448</v>
      </c>
      <c r="G91" s="5">
        <v>46089</v>
      </c>
      <c r="H91" s="5">
        <v>46090</v>
      </c>
      <c r="I91" s="6"/>
      <c r="J91" s="7"/>
      <c r="K91" s="6"/>
      <c r="N91" s="3"/>
      <c r="Q91" t="s">
        <v>193</v>
      </c>
      <c r="R91" t="s">
        <v>462</v>
      </c>
      <c r="S91" s="8">
        <v>510066</v>
      </c>
      <c r="T91" s="10" t="str">
        <f t="shared" si="3"/>
        <v>00510066.pdf</v>
      </c>
      <c r="U91" s="9" t="str">
        <f>HYPERLINK(CONCATENATE("https://bte.dgcp.mtsss.gov.pt/documentos/",A91,"/",F91,"/",T91))</f>
        <v>https://bte.dgcp.mtsss.gov.pt/documentos/2026/9/00510066.pdf</v>
      </c>
    </row>
    <row r="92" spans="1:21">
      <c r="A92" s="11" t="str">
        <f t="shared" si="2"/>
        <v>2026</v>
      </c>
      <c r="B92" s="1" t="s">
        <v>463</v>
      </c>
      <c r="C92" s="2" t="s">
        <v>464</v>
      </c>
      <c r="D92" s="3" t="s">
        <v>222</v>
      </c>
      <c r="E92" s="3">
        <v>93</v>
      </c>
      <c r="F92" s="4" t="s">
        <v>448</v>
      </c>
      <c r="G92" s="5">
        <v>46089</v>
      </c>
      <c r="H92" s="5">
        <v>46090</v>
      </c>
      <c r="I92" s="6"/>
      <c r="J92" s="7"/>
      <c r="K92" s="6"/>
      <c r="L92" t="s">
        <v>465</v>
      </c>
      <c r="N92" s="3" t="s">
        <v>466</v>
      </c>
      <c r="Q92" t="s">
        <v>467</v>
      </c>
      <c r="R92" t="s">
        <v>468</v>
      </c>
      <c r="S92" s="8">
        <v>670069</v>
      </c>
      <c r="T92" s="10" t="str">
        <f t="shared" si="3"/>
        <v>00670069.pdf</v>
      </c>
      <c r="U92" s="9" t="str">
        <f>HYPERLINK(CONCATENATE("https://bte.dgcp.mtsss.gov.pt/documentos/",A92,"/",F92,"/",T92))</f>
        <v>https://bte.dgcp.mtsss.gov.pt/documentos/2026/9/00670069.pdf</v>
      </c>
    </row>
    <row r="93" spans="1:21">
      <c r="A93" s="11" t="str">
        <f t="shared" si="2"/>
        <v>2026</v>
      </c>
      <c r="B93" s="1" t="s">
        <v>469</v>
      </c>
      <c r="C93" s="2" t="s">
        <v>470</v>
      </c>
      <c r="D93" s="3" t="s">
        <v>222</v>
      </c>
      <c r="E93" s="3">
        <v>93</v>
      </c>
      <c r="F93" s="4" t="s">
        <v>448</v>
      </c>
      <c r="G93" s="5">
        <v>46089</v>
      </c>
      <c r="H93" s="5">
        <v>46090</v>
      </c>
      <c r="I93" s="6"/>
      <c r="J93" s="7"/>
      <c r="K93" s="6"/>
      <c r="N93" s="3" t="s">
        <v>471</v>
      </c>
      <c r="Q93" t="s">
        <v>193</v>
      </c>
      <c r="R93" t="s">
        <v>472</v>
      </c>
      <c r="S93" s="8">
        <v>700082</v>
      </c>
      <c r="T93" s="10" t="str">
        <f t="shared" si="3"/>
        <v>00700082.pdf</v>
      </c>
      <c r="U93" s="9" t="str">
        <f>HYPERLINK(CONCATENATE("https://bte.dgcp.mtsss.gov.pt/documentos/",A93,"/",F93,"/",T93))</f>
        <v>https://bte.dgcp.mtsss.gov.pt/documentos/2026/9/00700082.pdf</v>
      </c>
    </row>
    <row r="94" spans="1:21">
      <c r="A94" s="11" t="str">
        <f t="shared" si="2"/>
        <v>2026</v>
      </c>
      <c r="B94" s="1" t="s">
        <v>473</v>
      </c>
      <c r="C94" s="2" t="s">
        <v>474</v>
      </c>
      <c r="D94" s="3" t="s">
        <v>288</v>
      </c>
      <c r="E94" s="3">
        <v>93</v>
      </c>
      <c r="F94" s="4" t="s">
        <v>448</v>
      </c>
      <c r="G94" s="5">
        <v>46089</v>
      </c>
      <c r="H94" s="5">
        <v>46090</v>
      </c>
      <c r="I94" s="6"/>
      <c r="J94" s="7"/>
      <c r="K94" s="6">
        <v>27213</v>
      </c>
      <c r="N94" s="3" t="s">
        <v>475</v>
      </c>
      <c r="Q94" t="s">
        <v>476</v>
      </c>
      <c r="R94" t="s">
        <v>477</v>
      </c>
      <c r="S94" s="8">
        <v>870135</v>
      </c>
      <c r="T94" s="10" t="str">
        <f t="shared" si="3"/>
        <v>00870135.pdf</v>
      </c>
      <c r="U94" s="9" t="str">
        <f>HYPERLINK(CONCATENATE("https://bte.dgcp.mtsss.gov.pt/documentos/",A94,"/",F94,"/",T94))</f>
        <v>https://bte.dgcp.mtsss.gov.pt/documentos/2026/9/00870135.pdf</v>
      </c>
    </row>
    <row r="95" spans="1:21">
      <c r="A95" s="11" t="str">
        <f t="shared" si="2"/>
        <v>2026</v>
      </c>
      <c r="B95" s="1" t="s">
        <v>478</v>
      </c>
      <c r="C95" s="2" t="s">
        <v>479</v>
      </c>
      <c r="D95" s="3" t="s">
        <v>288</v>
      </c>
      <c r="E95" s="3">
        <v>93</v>
      </c>
      <c r="F95" s="4" t="s">
        <v>448</v>
      </c>
      <c r="G95" s="5">
        <v>46089</v>
      </c>
      <c r="H95" s="5">
        <v>46090</v>
      </c>
      <c r="I95" s="6"/>
      <c r="J95" s="7"/>
      <c r="K95" s="6">
        <v>27214</v>
      </c>
      <c r="N95" s="3" t="s">
        <v>480</v>
      </c>
      <c r="Q95" t="s">
        <v>481</v>
      </c>
      <c r="R95" t="s">
        <v>482</v>
      </c>
      <c r="S95" s="8">
        <v>1360175</v>
      </c>
      <c r="T95" s="10" t="str">
        <f t="shared" si="3"/>
        <v>01360175.pdf</v>
      </c>
      <c r="U95" s="9" t="str">
        <f>HYPERLINK(CONCATENATE("https://bte.dgcp.mtsss.gov.pt/documentos/",A95,"/",F95,"/",T95))</f>
        <v>https://bte.dgcp.mtsss.gov.pt/documentos/2026/9/01360175.pdf</v>
      </c>
    </row>
    <row r="96" spans="1:21">
      <c r="A96" s="11" t="str">
        <f t="shared" si="2"/>
        <v>2026</v>
      </c>
      <c r="B96" s="1" t="s">
        <v>483</v>
      </c>
      <c r="C96" s="2" t="s">
        <v>484</v>
      </c>
      <c r="D96" s="3" t="s">
        <v>23</v>
      </c>
      <c r="E96" s="3">
        <v>93</v>
      </c>
      <c r="F96" s="4" t="s">
        <v>485</v>
      </c>
      <c r="G96" s="5">
        <v>46096</v>
      </c>
      <c r="H96" s="5">
        <v>46097</v>
      </c>
      <c r="I96" s="6"/>
      <c r="J96" s="7"/>
      <c r="K96" s="6">
        <v>24535</v>
      </c>
      <c r="L96" t="s">
        <v>486</v>
      </c>
      <c r="N96" s="3" t="s">
        <v>487</v>
      </c>
      <c r="Q96" t="s">
        <v>488</v>
      </c>
      <c r="S96" s="8">
        <v>40005</v>
      </c>
      <c r="T96" s="10" t="str">
        <f t="shared" si="3"/>
        <v>00040005.pdf</v>
      </c>
      <c r="U96" s="9" t="str">
        <f>HYPERLINK(CONCATENATE("https://bte.dgcp.mtsss.gov.pt/documentos/",A96,"/",F96,"/",T96))</f>
        <v>https://bte.dgcp.mtsss.gov.pt/documentos/2026/10/00040005.pdf</v>
      </c>
    </row>
    <row r="97" spans="1:21">
      <c r="A97" s="11" t="str">
        <f t="shared" si="2"/>
        <v>2026</v>
      </c>
      <c r="B97" s="1" t="s">
        <v>489</v>
      </c>
      <c r="C97" s="2" t="s">
        <v>490</v>
      </c>
      <c r="D97" s="3" t="s">
        <v>23</v>
      </c>
      <c r="E97" s="3">
        <v>93</v>
      </c>
      <c r="F97" s="4" t="s">
        <v>485</v>
      </c>
      <c r="G97" s="5">
        <v>46096</v>
      </c>
      <c r="H97" s="5">
        <v>46097</v>
      </c>
      <c r="I97" s="6"/>
      <c r="J97" s="7"/>
      <c r="K97" s="6">
        <v>26980</v>
      </c>
      <c r="L97" t="s">
        <v>491</v>
      </c>
      <c r="N97" s="3" t="s">
        <v>492</v>
      </c>
      <c r="Q97" t="s">
        <v>230</v>
      </c>
      <c r="S97" s="8">
        <v>60007</v>
      </c>
      <c r="T97" s="10" t="str">
        <f t="shared" si="3"/>
        <v>00060007.pdf</v>
      </c>
      <c r="U97" s="9" t="str">
        <f>HYPERLINK(CONCATENATE("https://bte.dgcp.mtsss.gov.pt/documentos/",A97,"/",F97,"/",T97))</f>
        <v>https://bte.dgcp.mtsss.gov.pt/documentos/2026/10/00060007.pdf</v>
      </c>
    </row>
    <row r="98" spans="1:21">
      <c r="A98" s="11" t="str">
        <f t="shared" si="2"/>
        <v>2026</v>
      </c>
      <c r="B98" s="1" t="s">
        <v>493</v>
      </c>
      <c r="C98" s="2" t="s">
        <v>494</v>
      </c>
      <c r="D98" s="3" t="s">
        <v>23</v>
      </c>
      <c r="E98" s="3">
        <v>93</v>
      </c>
      <c r="F98" s="4" t="s">
        <v>485</v>
      </c>
      <c r="G98" s="5">
        <v>46096</v>
      </c>
      <c r="H98" s="5">
        <v>46097</v>
      </c>
      <c r="I98" s="6"/>
      <c r="J98" s="7"/>
      <c r="K98" s="6">
        <v>26700</v>
      </c>
      <c r="L98" t="s">
        <v>495</v>
      </c>
      <c r="N98" s="3" t="s">
        <v>496</v>
      </c>
      <c r="Q98" t="s">
        <v>497</v>
      </c>
      <c r="S98" s="8">
        <v>80009</v>
      </c>
      <c r="T98" s="10" t="str">
        <f t="shared" si="3"/>
        <v>00080009.pdf</v>
      </c>
      <c r="U98" s="9" t="str">
        <f>HYPERLINK(CONCATENATE("https://bte.dgcp.mtsss.gov.pt/documentos/",A98,"/",F98,"/",T98))</f>
        <v>https://bte.dgcp.mtsss.gov.pt/documentos/2026/10/00080009.pdf</v>
      </c>
    </row>
    <row r="99" spans="1:21">
      <c r="A99" s="11" t="str">
        <f t="shared" si="2"/>
        <v>2026</v>
      </c>
      <c r="B99" s="1" t="s">
        <v>498</v>
      </c>
      <c r="C99" s="2" t="s">
        <v>499</v>
      </c>
      <c r="D99" s="3" t="s">
        <v>23</v>
      </c>
      <c r="E99" s="3">
        <v>93</v>
      </c>
      <c r="F99" s="4" t="s">
        <v>485</v>
      </c>
      <c r="G99" s="5">
        <v>46096</v>
      </c>
      <c r="H99" s="5">
        <v>46097</v>
      </c>
      <c r="I99" s="6"/>
      <c r="J99" s="7"/>
      <c r="K99" s="6">
        <v>25516</v>
      </c>
      <c r="L99" t="s">
        <v>500</v>
      </c>
      <c r="N99" s="3" t="s">
        <v>501</v>
      </c>
      <c r="Q99" t="s">
        <v>502</v>
      </c>
      <c r="S99" s="8">
        <v>100011</v>
      </c>
      <c r="T99" s="10" t="str">
        <f t="shared" si="3"/>
        <v>00100011.pdf</v>
      </c>
      <c r="U99" s="9" t="str">
        <f>HYPERLINK(CONCATENATE("https://bte.dgcp.mtsss.gov.pt/documentos/",A99,"/",F99,"/",T99))</f>
        <v>https://bte.dgcp.mtsss.gov.pt/documentos/2026/10/00100011.pdf</v>
      </c>
    </row>
    <row r="100" spans="1:21">
      <c r="A100" s="11" t="str">
        <f t="shared" si="2"/>
        <v>2026</v>
      </c>
      <c r="B100" s="1" t="s">
        <v>503</v>
      </c>
      <c r="C100" s="2" t="s">
        <v>504</v>
      </c>
      <c r="D100" s="3" t="s">
        <v>23</v>
      </c>
      <c r="E100" s="3">
        <v>93</v>
      </c>
      <c r="F100" s="4" t="s">
        <v>485</v>
      </c>
      <c r="G100" s="5">
        <v>46096</v>
      </c>
      <c r="H100" s="5">
        <v>46097</v>
      </c>
      <c r="I100" s="6"/>
      <c r="J100" s="7"/>
      <c r="K100" s="6">
        <v>16684</v>
      </c>
      <c r="L100" t="s">
        <v>505</v>
      </c>
      <c r="N100" s="3" t="s">
        <v>506</v>
      </c>
      <c r="Q100" t="s">
        <v>507</v>
      </c>
      <c r="S100" s="8">
        <v>120014</v>
      </c>
      <c r="T100" s="10" t="str">
        <f t="shared" si="3"/>
        <v>00120014.pdf</v>
      </c>
      <c r="U100" s="9" t="str">
        <f>HYPERLINK(CONCATENATE("https://bte.dgcp.mtsss.gov.pt/documentos/",A100,"/",F100,"/",T100))</f>
        <v>https://bte.dgcp.mtsss.gov.pt/documentos/2026/10/00120014.pdf</v>
      </c>
    </row>
    <row r="101" spans="1:21">
      <c r="A101" s="11" t="str">
        <f t="shared" si="2"/>
        <v>2026</v>
      </c>
      <c r="B101" s="1" t="s">
        <v>508</v>
      </c>
      <c r="C101" s="2" t="s">
        <v>509</v>
      </c>
      <c r="D101" s="3" t="s">
        <v>23</v>
      </c>
      <c r="E101" s="3">
        <v>93</v>
      </c>
      <c r="F101" s="4" t="s">
        <v>485</v>
      </c>
      <c r="G101" s="5">
        <v>46096</v>
      </c>
      <c r="H101" s="5">
        <v>46097</v>
      </c>
      <c r="I101" s="6"/>
      <c r="J101" s="7"/>
      <c r="K101" s="6">
        <v>27175</v>
      </c>
      <c r="L101" t="s">
        <v>510</v>
      </c>
      <c r="N101" s="3" t="s">
        <v>511</v>
      </c>
      <c r="Q101" t="s">
        <v>268</v>
      </c>
      <c r="S101" s="8">
        <v>150016</v>
      </c>
      <c r="T101" s="10" t="str">
        <f t="shared" si="3"/>
        <v>00150016.pdf</v>
      </c>
      <c r="U101" s="9" t="str">
        <f>HYPERLINK(CONCATENATE("https://bte.dgcp.mtsss.gov.pt/documentos/",A101,"/",F101,"/",T101))</f>
        <v>https://bte.dgcp.mtsss.gov.pt/documentos/2026/10/00150016.pdf</v>
      </c>
    </row>
    <row r="102" spans="1:21">
      <c r="A102" s="11" t="str">
        <f t="shared" si="2"/>
        <v>2026</v>
      </c>
      <c r="B102" s="1" t="s">
        <v>512</v>
      </c>
      <c r="C102" s="2" t="s">
        <v>513</v>
      </c>
      <c r="D102" s="3" t="s">
        <v>23</v>
      </c>
      <c r="E102" s="3">
        <v>93</v>
      </c>
      <c r="F102" s="4" t="s">
        <v>485</v>
      </c>
      <c r="G102" s="5">
        <v>46096</v>
      </c>
      <c r="H102" s="5">
        <v>46097</v>
      </c>
      <c r="I102" s="6"/>
      <c r="J102" s="7"/>
      <c r="K102" s="6">
        <v>27181</v>
      </c>
      <c r="L102" t="s">
        <v>514</v>
      </c>
      <c r="N102" s="3" t="s">
        <v>515</v>
      </c>
      <c r="Q102" t="s">
        <v>268</v>
      </c>
      <c r="S102" s="8">
        <v>170018</v>
      </c>
      <c r="T102" s="10" t="str">
        <f t="shared" si="3"/>
        <v>00170018.pdf</v>
      </c>
      <c r="U102" s="9" t="str">
        <f>HYPERLINK(CONCATENATE("https://bte.dgcp.mtsss.gov.pt/documentos/",A102,"/",F102,"/",T102))</f>
        <v>https://bte.dgcp.mtsss.gov.pt/documentos/2026/10/00170018.pdf</v>
      </c>
    </row>
    <row r="103" spans="1:21">
      <c r="A103" s="11" t="str">
        <f t="shared" si="2"/>
        <v>2026</v>
      </c>
      <c r="B103" s="1" t="s">
        <v>516</v>
      </c>
      <c r="C103" s="2" t="s">
        <v>517</v>
      </c>
      <c r="D103" s="3" t="s">
        <v>23</v>
      </c>
      <c r="E103" s="3">
        <v>93</v>
      </c>
      <c r="F103" s="4" t="s">
        <v>485</v>
      </c>
      <c r="G103" s="5">
        <v>46096</v>
      </c>
      <c r="H103" s="5">
        <v>46097</v>
      </c>
      <c r="I103" s="6"/>
      <c r="J103" s="7"/>
      <c r="K103" s="6">
        <v>27086</v>
      </c>
      <c r="L103" t="s">
        <v>518</v>
      </c>
      <c r="N103" s="3" t="s">
        <v>519</v>
      </c>
      <c r="Q103" t="s">
        <v>520</v>
      </c>
      <c r="S103" s="8">
        <v>190021</v>
      </c>
      <c r="T103" s="10" t="str">
        <f t="shared" si="3"/>
        <v>00190021.pdf</v>
      </c>
      <c r="U103" s="9" t="str">
        <f>HYPERLINK(CONCATENATE("https://bte.dgcp.mtsss.gov.pt/documentos/",A103,"/",F103,"/",T103))</f>
        <v>https://bte.dgcp.mtsss.gov.pt/documentos/2026/10/00190021.pdf</v>
      </c>
    </row>
    <row r="104" spans="1:21">
      <c r="A104" s="11" t="str">
        <f t="shared" si="2"/>
        <v>2026</v>
      </c>
      <c r="B104" s="1" t="s">
        <v>521</v>
      </c>
      <c r="C104" s="2" t="s">
        <v>522</v>
      </c>
      <c r="D104" s="3" t="s">
        <v>288</v>
      </c>
      <c r="E104" s="3">
        <v>93</v>
      </c>
      <c r="F104" s="4" t="s">
        <v>485</v>
      </c>
      <c r="G104" s="5">
        <v>46096</v>
      </c>
      <c r="H104" s="5">
        <v>46097</v>
      </c>
      <c r="I104" s="6"/>
      <c r="J104" s="7"/>
      <c r="K104" s="6">
        <v>27215</v>
      </c>
      <c r="N104" s="3" t="s">
        <v>523</v>
      </c>
      <c r="Q104" t="s">
        <v>524</v>
      </c>
      <c r="R104" t="s">
        <v>525</v>
      </c>
      <c r="S104" s="8">
        <v>220050</v>
      </c>
      <c r="T104" s="10" t="str">
        <f t="shared" si="3"/>
        <v>00220050.pdf</v>
      </c>
      <c r="U104" s="9" t="str">
        <f>HYPERLINK(CONCATENATE("https://bte.dgcp.mtsss.gov.pt/documentos/",A104,"/",F104,"/",T104))</f>
        <v>https://bte.dgcp.mtsss.gov.pt/documentos/2026/10/00220050.pdf</v>
      </c>
    </row>
    <row r="105" spans="1:21">
      <c r="A105" s="11" t="str">
        <f t="shared" si="2"/>
        <v>2026</v>
      </c>
      <c r="B105" s="1" t="s">
        <v>526</v>
      </c>
      <c r="C105" s="2" t="s">
        <v>527</v>
      </c>
      <c r="D105" s="3" t="s">
        <v>288</v>
      </c>
      <c r="E105" s="3">
        <v>93</v>
      </c>
      <c r="F105" s="4" t="s">
        <v>485</v>
      </c>
      <c r="G105" s="5">
        <v>46096</v>
      </c>
      <c r="H105" s="5">
        <v>46097</v>
      </c>
      <c r="I105" s="6"/>
      <c r="J105" s="7"/>
      <c r="K105" s="6">
        <v>27216</v>
      </c>
      <c r="N105" s="3" t="s">
        <v>528</v>
      </c>
      <c r="Q105" t="s">
        <v>42</v>
      </c>
      <c r="R105" t="s">
        <v>525</v>
      </c>
      <c r="S105" s="8">
        <v>510083</v>
      </c>
      <c r="T105" s="10" t="str">
        <f t="shared" si="3"/>
        <v>00510083.pdf</v>
      </c>
      <c r="U105" s="9" t="str">
        <f>HYPERLINK(CONCATENATE("https://bte.dgcp.mtsss.gov.pt/documentos/",A105,"/",F105,"/",T105))</f>
        <v>https://bte.dgcp.mtsss.gov.pt/documentos/2026/10/00510083.pdf</v>
      </c>
    </row>
    <row r="106" spans="1:21">
      <c r="A106" s="11" t="str">
        <f t="shared" si="2"/>
        <v>2026</v>
      </c>
      <c r="B106" s="1" t="s">
        <v>529</v>
      </c>
      <c r="C106" s="2" t="s">
        <v>530</v>
      </c>
      <c r="D106" s="3" t="s">
        <v>271</v>
      </c>
      <c r="E106" s="3">
        <v>93</v>
      </c>
      <c r="F106" s="4" t="s">
        <v>485</v>
      </c>
      <c r="G106" s="5">
        <v>46096</v>
      </c>
      <c r="H106" s="5">
        <v>46097</v>
      </c>
      <c r="I106" s="6"/>
      <c r="J106" s="7"/>
      <c r="K106" s="6">
        <v>26544</v>
      </c>
      <c r="L106" t="s">
        <v>531</v>
      </c>
      <c r="N106" s="3" t="s">
        <v>155</v>
      </c>
      <c r="Q106" t="s">
        <v>532</v>
      </c>
      <c r="R106" t="s">
        <v>533</v>
      </c>
      <c r="S106" s="8">
        <v>840086</v>
      </c>
      <c r="T106" s="10" t="str">
        <f t="shared" si="3"/>
        <v>00840086.pdf</v>
      </c>
      <c r="U106" s="9" t="str">
        <f>HYPERLINK(CONCATENATE("https://bte.dgcp.mtsss.gov.pt/documentos/",A106,"/",F106,"/",T106))</f>
        <v>https://bte.dgcp.mtsss.gov.pt/documentos/2026/10/00840086.pdf</v>
      </c>
    </row>
    <row r="107" spans="1:21">
      <c r="A107" s="11" t="str">
        <f t="shared" si="2"/>
        <v>2026</v>
      </c>
      <c r="B107" s="1" t="s">
        <v>534</v>
      </c>
      <c r="C107" s="2" t="s">
        <v>535</v>
      </c>
      <c r="D107" s="3" t="s">
        <v>99</v>
      </c>
      <c r="E107" s="3">
        <v>93</v>
      </c>
      <c r="F107" s="4" t="s">
        <v>485</v>
      </c>
      <c r="G107" s="5">
        <v>46096</v>
      </c>
      <c r="H107" s="5">
        <v>46097</v>
      </c>
      <c r="I107" s="6"/>
      <c r="J107" s="7"/>
      <c r="K107" s="6">
        <v>17217</v>
      </c>
      <c r="N107" s="3" t="s">
        <v>536</v>
      </c>
      <c r="Q107" t="s">
        <v>420</v>
      </c>
      <c r="R107" t="s">
        <v>537</v>
      </c>
      <c r="S107" s="8">
        <v>870106</v>
      </c>
      <c r="T107" s="10" t="str">
        <f t="shared" si="3"/>
        <v>00870106.pdf</v>
      </c>
      <c r="U107" s="9" t="str">
        <f>HYPERLINK(CONCATENATE("https://bte.dgcp.mtsss.gov.pt/documentos/",A107,"/",F107,"/",T107))</f>
        <v>https://bte.dgcp.mtsss.gov.pt/documentos/2026/10/00870106.pdf</v>
      </c>
    </row>
    <row r="108" spans="1:21">
      <c r="A108" s="11" t="str">
        <f t="shared" si="2"/>
        <v>2026</v>
      </c>
      <c r="B108" s="1" t="s">
        <v>538</v>
      </c>
      <c r="C108" s="2" t="s">
        <v>539</v>
      </c>
      <c r="D108" s="3" t="s">
        <v>99</v>
      </c>
      <c r="E108" s="3">
        <v>93</v>
      </c>
      <c r="F108" s="4" t="s">
        <v>485</v>
      </c>
      <c r="G108" s="5">
        <v>46096</v>
      </c>
      <c r="H108" s="5">
        <v>46097</v>
      </c>
      <c r="I108" s="6"/>
      <c r="J108" s="7"/>
      <c r="K108" s="6">
        <v>17218</v>
      </c>
      <c r="N108" s="3" t="s">
        <v>540</v>
      </c>
      <c r="Q108" t="s">
        <v>541</v>
      </c>
      <c r="R108" t="s">
        <v>542</v>
      </c>
      <c r="S108" s="8">
        <v>1070138</v>
      </c>
      <c r="T108" s="10" t="str">
        <f t="shared" si="3"/>
        <v>01070138.pdf</v>
      </c>
      <c r="U108" s="9" t="str">
        <f>HYPERLINK(CONCATENATE("https://bte.dgcp.mtsss.gov.pt/documentos/",A108,"/",F108,"/",T108))</f>
        <v>https://bte.dgcp.mtsss.gov.pt/documentos/2026/10/01070138.pdf</v>
      </c>
    </row>
    <row r="109" spans="1:21">
      <c r="A109" s="11" t="str">
        <f t="shared" si="2"/>
        <v>2026</v>
      </c>
      <c r="B109" s="1" t="s">
        <v>543</v>
      </c>
      <c r="C109" s="2" t="s">
        <v>544</v>
      </c>
      <c r="D109" s="3" t="s">
        <v>99</v>
      </c>
      <c r="E109" s="3">
        <v>93</v>
      </c>
      <c r="F109" s="4" t="s">
        <v>545</v>
      </c>
      <c r="G109" s="5">
        <v>46103</v>
      </c>
      <c r="H109" s="5">
        <v>46104</v>
      </c>
      <c r="I109" s="6"/>
      <c r="J109" s="7"/>
      <c r="K109" s="6"/>
      <c r="N109" s="3"/>
      <c r="Q109" t="s">
        <v>193</v>
      </c>
      <c r="R109" t="s">
        <v>546</v>
      </c>
      <c r="S109" s="8">
        <v>40019</v>
      </c>
      <c r="T109" s="10" t="str">
        <f t="shared" si="3"/>
        <v>00040019.pdf</v>
      </c>
      <c r="U109" s="9" t="str">
        <f>HYPERLINK(CONCATENATE("https://bte.dgcp.mtsss.gov.pt/documentos/",A109,"/",F109,"/",T109))</f>
        <v>https://bte.dgcp.mtsss.gov.pt/documentos/2026/11/00040019.pdf</v>
      </c>
    </row>
    <row r="110" spans="1:21">
      <c r="A110" s="11" t="str">
        <f t="shared" si="2"/>
        <v>2026</v>
      </c>
      <c r="B110" s="1" t="s">
        <v>547</v>
      </c>
      <c r="C110" s="2" t="s">
        <v>548</v>
      </c>
      <c r="D110" s="3" t="s">
        <v>99</v>
      </c>
      <c r="E110" s="3">
        <v>93</v>
      </c>
      <c r="F110" s="4" t="s">
        <v>545</v>
      </c>
      <c r="G110" s="5">
        <v>46103</v>
      </c>
      <c r="H110" s="5">
        <v>46104</v>
      </c>
      <c r="I110" s="6"/>
      <c r="J110" s="7"/>
      <c r="K110" s="6"/>
      <c r="N110" s="3"/>
      <c r="Q110" t="s">
        <v>193</v>
      </c>
      <c r="R110" t="s">
        <v>549</v>
      </c>
      <c r="S110" s="8">
        <v>200036</v>
      </c>
      <c r="T110" s="10" t="str">
        <f t="shared" si="3"/>
        <v>00200036.pdf</v>
      </c>
      <c r="U110" s="9" t="str">
        <f>HYPERLINK(CONCATENATE("https://bte.dgcp.mtsss.gov.pt/documentos/",A110,"/",F110,"/",T110))</f>
        <v>https://bte.dgcp.mtsss.gov.pt/documentos/2026/11/00200036.pdf</v>
      </c>
    </row>
    <row r="111" spans="1:21">
      <c r="A111" s="11" t="str">
        <f t="shared" si="2"/>
        <v>2026</v>
      </c>
      <c r="B111" s="1" t="s">
        <v>550</v>
      </c>
      <c r="C111" s="2" t="s">
        <v>551</v>
      </c>
      <c r="D111" s="3" t="s">
        <v>99</v>
      </c>
      <c r="E111" s="3">
        <v>93</v>
      </c>
      <c r="F111" s="4" t="s">
        <v>545</v>
      </c>
      <c r="G111" s="5">
        <v>46103</v>
      </c>
      <c r="H111" s="5">
        <v>46104</v>
      </c>
      <c r="I111" s="6"/>
      <c r="J111" s="7"/>
      <c r="K111" s="6"/>
      <c r="N111" s="3"/>
      <c r="Q111" t="s">
        <v>193</v>
      </c>
      <c r="R111" t="s">
        <v>552</v>
      </c>
      <c r="S111" s="8">
        <v>370052</v>
      </c>
      <c r="T111" s="10" t="str">
        <f t="shared" si="3"/>
        <v>00370052.pdf</v>
      </c>
      <c r="U111" s="9" t="str">
        <f>HYPERLINK(CONCATENATE("https://bte.dgcp.mtsss.gov.pt/documentos/",A111,"/",F111,"/",T111))</f>
        <v>https://bte.dgcp.mtsss.gov.pt/documentos/2026/11/00370052.pdf</v>
      </c>
    </row>
    <row r="112" spans="1:21">
      <c r="A112" s="11" t="str">
        <f t="shared" si="2"/>
        <v>2026</v>
      </c>
      <c r="B112" s="1" t="s">
        <v>553</v>
      </c>
      <c r="C112" s="2" t="s">
        <v>554</v>
      </c>
      <c r="D112" s="3" t="s">
        <v>99</v>
      </c>
      <c r="E112" s="3">
        <v>93</v>
      </c>
      <c r="F112" s="4" t="s">
        <v>545</v>
      </c>
      <c r="G112" s="5">
        <v>46103</v>
      </c>
      <c r="H112" s="5">
        <v>46104</v>
      </c>
      <c r="I112" s="6"/>
      <c r="J112" s="7"/>
      <c r="K112" s="6"/>
      <c r="N112" s="3"/>
      <c r="Q112" t="s">
        <v>193</v>
      </c>
      <c r="R112" t="s">
        <v>555</v>
      </c>
      <c r="S112" s="8">
        <v>530069</v>
      </c>
      <c r="T112" s="10" t="str">
        <f t="shared" si="3"/>
        <v>00530069.pdf</v>
      </c>
      <c r="U112" s="9" t="str">
        <f>HYPERLINK(CONCATENATE("https://bte.dgcp.mtsss.gov.pt/documentos/",A112,"/",F112,"/",T112))</f>
        <v>https://bte.dgcp.mtsss.gov.pt/documentos/2026/11/00530069.pdf</v>
      </c>
    </row>
    <row r="113" spans="1:21">
      <c r="A113" s="11" t="str">
        <f t="shared" si="2"/>
        <v>2026</v>
      </c>
      <c r="B113" s="1" t="s">
        <v>556</v>
      </c>
      <c r="C113" s="2" t="s">
        <v>557</v>
      </c>
      <c r="D113" s="3" t="s">
        <v>288</v>
      </c>
      <c r="E113" s="3">
        <v>93</v>
      </c>
      <c r="F113" s="4" t="s">
        <v>545</v>
      </c>
      <c r="G113" s="5">
        <v>46103</v>
      </c>
      <c r="H113" s="5">
        <v>46104</v>
      </c>
      <c r="I113" s="6"/>
      <c r="J113" s="7"/>
      <c r="K113" s="6">
        <v>27219</v>
      </c>
      <c r="N113" s="3" t="s">
        <v>558</v>
      </c>
      <c r="Q113" t="s">
        <v>559</v>
      </c>
      <c r="R113" t="s">
        <v>560</v>
      </c>
      <c r="S113" s="8">
        <v>710098</v>
      </c>
      <c r="T113" s="10" t="str">
        <f t="shared" si="3"/>
        <v>00710098.pdf</v>
      </c>
      <c r="U113" s="9" t="str">
        <f>HYPERLINK(CONCATENATE("https://bte.dgcp.mtsss.gov.pt/documentos/",A113,"/",F113,"/",T113))</f>
        <v>https://bte.dgcp.mtsss.gov.pt/documentos/2026/11/00710098.pdf</v>
      </c>
    </row>
    <row r="114" spans="1:21">
      <c r="A114" s="11" t="str">
        <f t="shared" si="2"/>
        <v>2026</v>
      </c>
      <c r="B114" s="1" t="s">
        <v>561</v>
      </c>
      <c r="C114" s="2" t="s">
        <v>562</v>
      </c>
      <c r="D114" s="3" t="s">
        <v>288</v>
      </c>
      <c r="E114" s="3">
        <v>93</v>
      </c>
      <c r="F114" s="4" t="s">
        <v>545</v>
      </c>
      <c r="G114" s="5">
        <v>46103</v>
      </c>
      <c r="H114" s="5">
        <v>46104</v>
      </c>
      <c r="I114" s="6"/>
      <c r="J114" s="7"/>
      <c r="K114" s="6">
        <v>27220</v>
      </c>
      <c r="N114" s="3" t="s">
        <v>440</v>
      </c>
      <c r="Q114" t="s">
        <v>441</v>
      </c>
      <c r="R114" t="s">
        <v>563</v>
      </c>
      <c r="S114" s="8">
        <v>990120</v>
      </c>
      <c r="T114" s="10" t="str">
        <f t="shared" si="3"/>
        <v>00990120.pdf</v>
      </c>
      <c r="U114" s="9" t="str">
        <f>HYPERLINK(CONCATENATE("https://bte.dgcp.mtsss.gov.pt/documentos/",A114,"/",F114,"/",T114))</f>
        <v>https://bte.dgcp.mtsss.gov.pt/documentos/2026/11/00990120.pdf</v>
      </c>
    </row>
    <row r="115" spans="1:21">
      <c r="A115" s="11" t="str">
        <f t="shared" si="2"/>
        <v>2026</v>
      </c>
      <c r="B115" s="1" t="s">
        <v>564</v>
      </c>
      <c r="C115" s="2" t="s">
        <v>565</v>
      </c>
      <c r="D115" s="3" t="s">
        <v>271</v>
      </c>
      <c r="E115" s="3">
        <v>93</v>
      </c>
      <c r="F115" s="4" t="s">
        <v>545</v>
      </c>
      <c r="G115" s="5">
        <v>46103</v>
      </c>
      <c r="H115" s="5">
        <v>46104</v>
      </c>
      <c r="I115" s="6"/>
      <c r="J115" s="7"/>
      <c r="K115" s="6">
        <v>27029</v>
      </c>
      <c r="L115" t="s">
        <v>566</v>
      </c>
      <c r="N115" s="3" t="s">
        <v>567</v>
      </c>
      <c r="Q115" t="s">
        <v>568</v>
      </c>
      <c r="R115" t="s">
        <v>569</v>
      </c>
      <c r="S115" s="8">
        <v>1210122</v>
      </c>
      <c r="T115" s="10" t="str">
        <f t="shared" si="3"/>
        <v>01210122.pdf</v>
      </c>
      <c r="U115" s="9" t="str">
        <f>HYPERLINK(CONCATENATE("https://bte.dgcp.mtsss.gov.pt/documentos/",A115,"/",F115,"/",T115))</f>
        <v>https://bte.dgcp.mtsss.gov.pt/documentos/2026/11/01210122.pdf</v>
      </c>
    </row>
    <row r="116" spans="1:21">
      <c r="A116" s="11" t="str">
        <f t="shared" si="2"/>
        <v>2026</v>
      </c>
      <c r="B116" s="1" t="s">
        <v>570</v>
      </c>
      <c r="C116" s="2" t="s">
        <v>571</v>
      </c>
      <c r="D116" s="3" t="s">
        <v>105</v>
      </c>
      <c r="E116" s="3">
        <v>93</v>
      </c>
      <c r="F116" s="4" t="s">
        <v>545</v>
      </c>
      <c r="G116" s="5">
        <v>46103</v>
      </c>
      <c r="H116" s="5">
        <v>46104</v>
      </c>
      <c r="I116" s="6"/>
      <c r="J116" s="7"/>
      <c r="K116" s="6">
        <v>47065</v>
      </c>
      <c r="L116" t="s">
        <v>572</v>
      </c>
      <c r="N116" s="3" t="s">
        <v>573</v>
      </c>
      <c r="Q116" t="s">
        <v>574</v>
      </c>
      <c r="R116" t="s">
        <v>575</v>
      </c>
      <c r="S116" s="8">
        <v>1230126</v>
      </c>
      <c r="T116" s="10" t="str">
        <f t="shared" si="3"/>
        <v>01230126.pdf</v>
      </c>
      <c r="U116" s="9" t="str">
        <f>HYPERLINK(CONCATENATE("https://bte.dgcp.mtsss.gov.pt/documentos/",A116,"/",F116,"/",T116))</f>
        <v>https://bte.dgcp.mtsss.gov.pt/documentos/2026/11/01230126.pdf</v>
      </c>
    </row>
    <row r="117" spans="1:21">
      <c r="A117" s="11" t="str">
        <f t="shared" si="2"/>
        <v>2026</v>
      </c>
      <c r="B117" s="1" t="s">
        <v>576</v>
      </c>
      <c r="C117" s="2" t="s">
        <v>577</v>
      </c>
      <c r="D117" s="3" t="s">
        <v>184</v>
      </c>
      <c r="E117" s="3">
        <v>93</v>
      </c>
      <c r="F117" s="4" t="s">
        <v>545</v>
      </c>
      <c r="G117" s="5">
        <v>46103</v>
      </c>
      <c r="H117" s="5">
        <v>46104</v>
      </c>
      <c r="I117" s="6"/>
      <c r="J117" s="7"/>
      <c r="K117" s="6">
        <v>26752</v>
      </c>
      <c r="L117" t="s">
        <v>578</v>
      </c>
      <c r="N117" s="3" t="s">
        <v>579</v>
      </c>
      <c r="Q117" t="s">
        <v>580</v>
      </c>
      <c r="R117" t="s">
        <v>581</v>
      </c>
      <c r="S117" s="8">
        <v>1270127</v>
      </c>
      <c r="T117" s="10" t="str">
        <f t="shared" si="3"/>
        <v>01270127.pdf</v>
      </c>
      <c r="U117" s="9" t="str">
        <f>HYPERLINK(CONCATENATE("https://bte.dgcp.mtsss.gov.pt/documentos/",A117,"/",F117,"/",T117))</f>
        <v>https://bte.dgcp.mtsss.gov.pt/documentos/2026/11/01270127.pdf</v>
      </c>
    </row>
    <row r="118" spans="1:21">
      <c r="A118" s="11" t="str">
        <f t="shared" si="2"/>
        <v>2026</v>
      </c>
      <c r="B118" s="1" t="s">
        <v>582</v>
      </c>
      <c r="C118" s="2" t="s">
        <v>583</v>
      </c>
      <c r="D118" s="3" t="s">
        <v>288</v>
      </c>
      <c r="E118" s="3">
        <v>93</v>
      </c>
      <c r="F118" s="4" t="s">
        <v>584</v>
      </c>
      <c r="G118" s="5">
        <v>46110</v>
      </c>
      <c r="H118" s="5">
        <v>46111</v>
      </c>
      <c r="I118" s="6"/>
      <c r="J118" s="7"/>
      <c r="K118" s="6">
        <v>27221</v>
      </c>
      <c r="N118" s="3" t="s">
        <v>511</v>
      </c>
      <c r="Q118" t="s">
        <v>268</v>
      </c>
      <c r="R118" t="s">
        <v>585</v>
      </c>
      <c r="S118" s="8">
        <v>110032</v>
      </c>
      <c r="T118" s="10" t="str">
        <f t="shared" si="3"/>
        <v>00110032.pdf</v>
      </c>
      <c r="U118" s="9" t="str">
        <f>HYPERLINK(CONCATENATE("https://bte.dgcp.mtsss.gov.pt/documentos/",A118,"/",F118,"/",T118))</f>
        <v>https://bte.dgcp.mtsss.gov.pt/documentos/2026/12/00110032.pdf</v>
      </c>
    </row>
    <row r="119" spans="1:21">
      <c r="A119" s="11" t="str">
        <f t="shared" si="2"/>
        <v>2026</v>
      </c>
      <c r="B119" s="1" t="s">
        <v>586</v>
      </c>
      <c r="C119" s="2" t="s">
        <v>587</v>
      </c>
      <c r="D119" s="3" t="s">
        <v>288</v>
      </c>
      <c r="E119" s="3">
        <v>93</v>
      </c>
      <c r="F119" s="4" t="s">
        <v>584</v>
      </c>
      <c r="G119" s="5">
        <v>46110</v>
      </c>
      <c r="H119" s="5">
        <v>46111</v>
      </c>
      <c r="I119" s="6"/>
      <c r="J119" s="7"/>
      <c r="K119" s="6">
        <v>27222</v>
      </c>
      <c r="N119" s="3" t="s">
        <v>515</v>
      </c>
      <c r="Q119" t="s">
        <v>268</v>
      </c>
      <c r="R119" t="s">
        <v>588</v>
      </c>
      <c r="S119" s="8">
        <v>330054</v>
      </c>
      <c r="T119" s="10" t="str">
        <f t="shared" si="3"/>
        <v>00330054.pdf</v>
      </c>
      <c r="U119" s="9" t="str">
        <f>HYPERLINK(CONCATENATE("https://bte.dgcp.mtsss.gov.pt/documentos/",A119,"/",F119,"/",T119))</f>
        <v>https://bte.dgcp.mtsss.gov.pt/documentos/2026/12/00330054.pdf</v>
      </c>
    </row>
    <row r="120" spans="1:21">
      <c r="A120" s="11" t="str">
        <f t="shared" si="2"/>
        <v>2026</v>
      </c>
      <c r="B120" s="1" t="s">
        <v>589</v>
      </c>
      <c r="C120" s="2" t="s">
        <v>590</v>
      </c>
      <c r="D120" s="3" t="s">
        <v>591</v>
      </c>
      <c r="E120" s="3">
        <v>93</v>
      </c>
      <c r="F120" s="4" t="s">
        <v>584</v>
      </c>
      <c r="G120" s="5">
        <v>46110</v>
      </c>
      <c r="H120" s="5">
        <v>46111</v>
      </c>
      <c r="I120" s="6"/>
      <c r="J120" s="7"/>
      <c r="K120" s="6">
        <v>16964</v>
      </c>
      <c r="L120" t="s">
        <v>592</v>
      </c>
      <c r="N120" s="3" t="s">
        <v>593</v>
      </c>
      <c r="Q120" t="s">
        <v>594</v>
      </c>
      <c r="R120" t="s">
        <v>595</v>
      </c>
      <c r="S120" s="8">
        <v>550058</v>
      </c>
      <c r="T120" s="10" t="str">
        <f t="shared" si="3"/>
        <v>00550058.pdf</v>
      </c>
      <c r="U120" s="9" t="str">
        <f>HYPERLINK(CONCATENATE("https://bte.dgcp.mtsss.gov.pt/documentos/",A120,"/",F120,"/",T120))</f>
        <v>https://bte.dgcp.mtsss.gov.pt/documentos/2026/12/00550058.pdf</v>
      </c>
    </row>
    <row r="121" spans="1:21">
      <c r="A121" s="11" t="str">
        <f t="shared" si="2"/>
        <v>2026</v>
      </c>
      <c r="B121" s="1" t="s">
        <v>596</v>
      </c>
      <c r="C121" s="2" t="s">
        <v>597</v>
      </c>
      <c r="D121" s="3" t="s">
        <v>591</v>
      </c>
      <c r="E121" s="3">
        <v>93</v>
      </c>
      <c r="F121" s="4" t="s">
        <v>584</v>
      </c>
      <c r="G121" s="5">
        <v>46110</v>
      </c>
      <c r="H121" s="5">
        <v>46111</v>
      </c>
      <c r="I121" s="6"/>
      <c r="J121" s="7"/>
      <c r="K121" s="6">
        <v>16668</v>
      </c>
      <c r="N121" s="3" t="s">
        <v>598</v>
      </c>
      <c r="Q121" t="s">
        <v>599</v>
      </c>
      <c r="R121" t="s">
        <v>600</v>
      </c>
      <c r="S121" s="8">
        <v>590112</v>
      </c>
      <c r="T121" s="10" t="str">
        <f t="shared" si="3"/>
        <v>00590112.pdf</v>
      </c>
      <c r="U121" s="9" t="str">
        <f>HYPERLINK(CONCATENATE("https://bte.dgcp.mtsss.gov.pt/documentos/",A121,"/",F121,"/",T121))</f>
        <v>https://bte.dgcp.mtsss.gov.pt/documentos/2026/12/00590112.pdf</v>
      </c>
    </row>
    <row r="122" spans="1:21">
      <c r="A122" s="11" t="str">
        <f t="shared" si="2"/>
        <v>2026</v>
      </c>
      <c r="B122" s="1" t="s">
        <v>601</v>
      </c>
      <c r="C122" s="2" t="s">
        <v>602</v>
      </c>
      <c r="D122" s="3" t="s">
        <v>591</v>
      </c>
      <c r="E122" s="3">
        <v>93</v>
      </c>
      <c r="F122" s="4" t="s">
        <v>584</v>
      </c>
      <c r="G122" s="5">
        <v>46110</v>
      </c>
      <c r="H122" s="5">
        <v>46111</v>
      </c>
      <c r="I122" s="6"/>
      <c r="J122" s="7"/>
      <c r="K122" s="6">
        <v>16669</v>
      </c>
      <c r="L122" t="s">
        <v>603</v>
      </c>
      <c r="N122" s="3" t="s">
        <v>604</v>
      </c>
      <c r="Q122" t="s">
        <v>594</v>
      </c>
      <c r="R122" t="s">
        <v>605</v>
      </c>
      <c r="S122" s="8">
        <v>1130117</v>
      </c>
      <c r="T122" s="10" t="str">
        <f t="shared" si="3"/>
        <v>01130117.pdf</v>
      </c>
      <c r="U122" s="9" t="str">
        <f>HYPERLINK(CONCATENATE("https://bte.dgcp.mtsss.gov.pt/documentos/",A122,"/",F122,"/",T122))</f>
        <v>https://bte.dgcp.mtsss.gov.pt/documentos/2026/12/01130117.pdf</v>
      </c>
    </row>
    <row r="123" spans="1:21">
      <c r="A123" s="11" t="str">
        <f t="shared" si="2"/>
        <v>2026</v>
      </c>
      <c r="B123" s="1" t="s">
        <v>606</v>
      </c>
      <c r="C123" s="2" t="s">
        <v>607</v>
      </c>
      <c r="D123" s="3" t="s">
        <v>99</v>
      </c>
      <c r="E123" s="3">
        <v>93</v>
      </c>
      <c r="F123" s="4" t="s">
        <v>608</v>
      </c>
      <c r="G123" s="5">
        <v>46120</v>
      </c>
      <c r="H123" s="5">
        <v>46120</v>
      </c>
      <c r="I123" s="6"/>
      <c r="J123" s="7"/>
      <c r="K123" s="6"/>
      <c r="N123" s="3" t="s">
        <v>609</v>
      </c>
      <c r="Q123" t="s">
        <v>193</v>
      </c>
      <c r="R123" s="3" t="s">
        <v>610</v>
      </c>
      <c r="S123" s="8">
        <v>40019</v>
      </c>
      <c r="T123" s="10" t="str">
        <f t="shared" si="3"/>
        <v>00040019.pdf</v>
      </c>
      <c r="U123" s="9" t="str">
        <f>HYPERLINK(CONCATENATE("https://bte.dgcp.mtsss.gov.pt/documentos/",A123,"/",F123,"/",T123))</f>
        <v>https://bte.dgcp.mtsss.gov.pt/documentos/2026/13/00040019.pdf</v>
      </c>
    </row>
    <row r="124" spans="1:21">
      <c r="A124" s="11" t="str">
        <f t="shared" si="2"/>
        <v>2026</v>
      </c>
      <c r="B124" s="1" t="s">
        <v>611</v>
      </c>
      <c r="C124" s="2" t="s">
        <v>612</v>
      </c>
      <c r="D124" s="3" t="s">
        <v>99</v>
      </c>
      <c r="E124" s="3">
        <v>93</v>
      </c>
      <c r="F124" s="4" t="s">
        <v>608</v>
      </c>
      <c r="G124" s="5">
        <v>46120</v>
      </c>
      <c r="H124" s="5">
        <v>46120</v>
      </c>
      <c r="I124" s="6"/>
      <c r="J124" s="7"/>
      <c r="K124" s="6"/>
      <c r="N124" s="3" t="s">
        <v>613</v>
      </c>
      <c r="Q124" t="s">
        <v>193</v>
      </c>
      <c r="R124" s="3" t="s">
        <v>614</v>
      </c>
      <c r="S124" s="8">
        <v>200035</v>
      </c>
      <c r="T124" s="10" t="str">
        <f t="shared" si="3"/>
        <v>00200035.pdf</v>
      </c>
      <c r="U124" s="9" t="str">
        <f>HYPERLINK(CONCATENATE("https://bte.dgcp.mtsss.gov.pt/documentos/",A124,"/",F124,"/",T124))</f>
        <v>https://bte.dgcp.mtsss.gov.pt/documentos/2026/13/00200035.pdf</v>
      </c>
    </row>
    <row r="125" spans="1:21">
      <c r="A125" s="11" t="str">
        <f t="shared" si="2"/>
        <v>2026</v>
      </c>
      <c r="B125" s="1" t="s">
        <v>615</v>
      </c>
      <c r="C125" s="2" t="s">
        <v>616</v>
      </c>
      <c r="D125" s="3" t="s">
        <v>617</v>
      </c>
      <c r="E125" s="3">
        <v>93</v>
      </c>
      <c r="F125" s="4" t="s">
        <v>608</v>
      </c>
      <c r="G125" s="5">
        <v>46120</v>
      </c>
      <c r="H125" s="5">
        <v>46120</v>
      </c>
      <c r="I125" s="6"/>
      <c r="J125" s="7"/>
      <c r="K125" s="6">
        <v>26937</v>
      </c>
      <c r="L125" t="s">
        <v>618</v>
      </c>
      <c r="N125" s="3" t="s">
        <v>619</v>
      </c>
      <c r="Q125" t="s">
        <v>620</v>
      </c>
      <c r="S125" s="8">
        <v>400040</v>
      </c>
      <c r="T125" s="10" t="str">
        <f t="shared" si="3"/>
        <v>00400040.pdf</v>
      </c>
      <c r="U125" s="9" t="str">
        <f>HYPERLINK(CONCATENATE("https://bte.dgcp.mtsss.gov.pt/documentos/",A125,"/",F125,"/",T125))</f>
        <v>https://bte.dgcp.mtsss.gov.pt/documentos/2026/13/00400040.pdf</v>
      </c>
    </row>
    <row r="126" spans="1:21">
      <c r="A126" s="11" t="str">
        <f t="shared" si="2"/>
        <v>2026</v>
      </c>
      <c r="B126" s="1" t="s">
        <v>621</v>
      </c>
      <c r="C126" s="2" t="s">
        <v>622</v>
      </c>
      <c r="D126" s="3" t="s">
        <v>271</v>
      </c>
      <c r="E126" s="3">
        <v>93</v>
      </c>
      <c r="F126" s="4" t="s">
        <v>608</v>
      </c>
      <c r="G126" s="5">
        <v>46120</v>
      </c>
      <c r="H126" s="5">
        <v>46120</v>
      </c>
      <c r="I126" s="6"/>
      <c r="J126" s="7"/>
      <c r="K126" s="6">
        <v>26544</v>
      </c>
      <c r="L126" t="s">
        <v>623</v>
      </c>
      <c r="N126" s="3" t="s">
        <v>160</v>
      </c>
      <c r="Q126" t="s">
        <v>532</v>
      </c>
      <c r="R126" t="s">
        <v>624</v>
      </c>
      <c r="S126" s="8">
        <v>410043</v>
      </c>
      <c r="T126" s="10" t="str">
        <f t="shared" si="3"/>
        <v>00410043.pdf</v>
      </c>
      <c r="U126" s="9" t="str">
        <f>HYPERLINK(CONCATENATE("https://bte.dgcp.mtsss.gov.pt/documentos/",A126,"/",F126,"/",T126))</f>
        <v>https://bte.dgcp.mtsss.gov.pt/documentos/2026/13/00410043.pdf</v>
      </c>
    </row>
    <row r="127" spans="1:21">
      <c r="A127" s="11" t="str">
        <f t="shared" si="2"/>
        <v>2026</v>
      </c>
      <c r="B127" s="1" t="s">
        <v>625</v>
      </c>
      <c r="C127" s="2" t="s">
        <v>626</v>
      </c>
      <c r="D127" s="3" t="s">
        <v>105</v>
      </c>
      <c r="E127" s="3">
        <v>93</v>
      </c>
      <c r="F127" s="4" t="s">
        <v>608</v>
      </c>
      <c r="G127" s="5">
        <v>46120</v>
      </c>
      <c r="H127" s="5">
        <v>46120</v>
      </c>
      <c r="I127" s="6"/>
      <c r="J127" s="7"/>
      <c r="K127" s="6">
        <v>47047</v>
      </c>
      <c r="L127" t="s">
        <v>627</v>
      </c>
      <c r="N127" s="3" t="s">
        <v>628</v>
      </c>
      <c r="Q127" t="s">
        <v>629</v>
      </c>
      <c r="R127" t="s">
        <v>630</v>
      </c>
      <c r="S127" s="8">
        <v>440053</v>
      </c>
      <c r="T127" s="10" t="str">
        <f t="shared" si="3"/>
        <v>00440053.pdf</v>
      </c>
      <c r="U127" s="9" t="str">
        <f>HYPERLINK(CONCATENATE("https://bte.dgcp.mtsss.gov.pt/documentos/",A127,"/",F127,"/",T127))</f>
        <v>https://bte.dgcp.mtsss.gov.pt/documentos/2026/13/00440053.pdf</v>
      </c>
    </row>
    <row r="128" spans="1:21">
      <c r="A128" s="11" t="str">
        <f t="shared" si="2"/>
        <v>2026</v>
      </c>
      <c r="B128" s="1" t="s">
        <v>631</v>
      </c>
      <c r="C128" s="2" t="s">
        <v>632</v>
      </c>
      <c r="D128" s="3" t="s">
        <v>105</v>
      </c>
      <c r="E128" s="3">
        <v>93</v>
      </c>
      <c r="F128" s="4" t="s">
        <v>608</v>
      </c>
      <c r="G128" s="5">
        <v>46120</v>
      </c>
      <c r="H128" s="5">
        <v>46120</v>
      </c>
      <c r="I128" s="6"/>
      <c r="J128" s="7"/>
      <c r="K128" s="6">
        <v>47048</v>
      </c>
      <c r="L128" t="s">
        <v>204</v>
      </c>
      <c r="N128" s="3" t="s">
        <v>205</v>
      </c>
      <c r="Q128" t="s">
        <v>629</v>
      </c>
      <c r="R128" t="s">
        <v>207</v>
      </c>
      <c r="S128" s="8">
        <v>540063</v>
      </c>
      <c r="T128" s="10" t="str">
        <f t="shared" si="3"/>
        <v>00540063.pdf</v>
      </c>
      <c r="U128" s="9" t="str">
        <f>HYPERLINK(CONCATENATE("https://bte.dgcp.mtsss.gov.pt/documentos/",A128,"/",F128,"/",T128))</f>
        <v>https://bte.dgcp.mtsss.gov.pt/documentos/2026/13/00540063.pdf</v>
      </c>
    </row>
    <row r="129" spans="1:21">
      <c r="A129" s="11" t="str">
        <f t="shared" si="2"/>
        <v>2026</v>
      </c>
      <c r="B129" s="1" t="s">
        <v>633</v>
      </c>
      <c r="C129" s="2" t="s">
        <v>634</v>
      </c>
      <c r="D129" s="3" t="s">
        <v>105</v>
      </c>
      <c r="E129" s="3">
        <v>93</v>
      </c>
      <c r="F129" s="4" t="s">
        <v>608</v>
      </c>
      <c r="G129" s="5">
        <v>46120</v>
      </c>
      <c r="H129" s="5">
        <v>46120</v>
      </c>
      <c r="I129" s="6"/>
      <c r="J129" s="7"/>
      <c r="K129" s="6">
        <v>46144</v>
      </c>
      <c r="L129" t="s">
        <v>635</v>
      </c>
      <c r="N129" s="3" t="s">
        <v>636</v>
      </c>
      <c r="Q129" t="s">
        <v>637</v>
      </c>
      <c r="R129" t="s">
        <v>638</v>
      </c>
      <c r="S129" s="8">
        <v>640066</v>
      </c>
      <c r="T129" s="10" t="str">
        <f t="shared" si="3"/>
        <v>00640066.pdf</v>
      </c>
      <c r="U129" s="9" t="str">
        <f>HYPERLINK(CONCATENATE("https://bte.dgcp.mtsss.gov.pt/documentos/",A129,"/",F129,"/",T129))</f>
        <v>https://bte.dgcp.mtsss.gov.pt/documentos/2026/13/00640066.pdf</v>
      </c>
    </row>
    <row r="130" spans="1:21">
      <c r="A130" s="11" t="str">
        <f t="shared" ref="A130:A193" si="4">RIGHT(B130,4)</f>
        <v>2026</v>
      </c>
      <c r="B130" s="1" t="s">
        <v>639</v>
      </c>
      <c r="C130" s="2" t="s">
        <v>640</v>
      </c>
      <c r="D130" s="3" t="s">
        <v>105</v>
      </c>
      <c r="E130" s="3">
        <v>93</v>
      </c>
      <c r="F130" s="4" t="s">
        <v>608</v>
      </c>
      <c r="G130" s="5">
        <v>46120</v>
      </c>
      <c r="H130" s="5">
        <v>46120</v>
      </c>
      <c r="I130" s="6"/>
      <c r="J130" s="7"/>
      <c r="K130" s="6">
        <v>46226</v>
      </c>
      <c r="L130" t="s">
        <v>641</v>
      </c>
      <c r="N130" s="3" t="s">
        <v>642</v>
      </c>
      <c r="Q130" t="s">
        <v>643</v>
      </c>
      <c r="R130" t="s">
        <v>644</v>
      </c>
      <c r="S130" s="8">
        <v>670071</v>
      </c>
      <c r="T130" s="10" t="str">
        <f t="shared" ref="T130:T193" si="5">TEXT(S130, "00000000") &amp; ".pdf"</f>
        <v>00670071.pdf</v>
      </c>
      <c r="U130" s="9" t="str">
        <f>HYPERLINK(CONCATENATE("https://bte.dgcp.mtsss.gov.pt/documentos/",A130,"/",F130,"/",T130))</f>
        <v>https://bte.dgcp.mtsss.gov.pt/documentos/2026/13/00670071.pdf</v>
      </c>
    </row>
    <row r="131" spans="1:21">
      <c r="A131" s="11" t="str">
        <f t="shared" si="4"/>
        <v>2026</v>
      </c>
      <c r="B131" s="1" t="s">
        <v>645</v>
      </c>
      <c r="C131" s="2" t="s">
        <v>646</v>
      </c>
      <c r="D131" s="3" t="s">
        <v>99</v>
      </c>
      <c r="E131" s="3">
        <v>93</v>
      </c>
      <c r="F131" s="4" t="s">
        <v>647</v>
      </c>
      <c r="G131" s="5">
        <v>46127</v>
      </c>
      <c r="H131" s="5">
        <v>46127</v>
      </c>
      <c r="I131" s="6"/>
      <c r="J131" s="7"/>
      <c r="K131" s="6"/>
      <c r="N131" s="3" t="s">
        <v>648</v>
      </c>
      <c r="Q131" t="s">
        <v>193</v>
      </c>
      <c r="R131" t="s">
        <v>649</v>
      </c>
      <c r="S131" s="8">
        <v>50017</v>
      </c>
      <c r="T131" s="10" t="str">
        <f t="shared" si="5"/>
        <v>00050017.pdf</v>
      </c>
      <c r="U131" s="9" t="str">
        <f>HYPERLINK(CONCATENATE("https://bte.dgcp.mtsss.gov.pt/documentos/",A131,"/",F131,"/",T131))</f>
        <v>https://bte.dgcp.mtsss.gov.pt/documentos/2026/14/00050017.pdf</v>
      </c>
    </row>
    <row r="132" spans="1:21">
      <c r="A132" s="11" t="str">
        <f t="shared" si="4"/>
        <v>2026</v>
      </c>
      <c r="B132" s="1" t="s">
        <v>650</v>
      </c>
      <c r="C132" s="2" t="s">
        <v>651</v>
      </c>
      <c r="D132" s="3" t="s">
        <v>99</v>
      </c>
      <c r="E132" s="3">
        <v>93</v>
      </c>
      <c r="F132" s="4" t="s">
        <v>647</v>
      </c>
      <c r="G132" s="5">
        <v>46127</v>
      </c>
      <c r="H132" s="5">
        <v>46127</v>
      </c>
      <c r="I132" s="6"/>
      <c r="J132" s="7"/>
      <c r="K132" s="6"/>
      <c r="N132" s="3"/>
      <c r="Q132" t="s">
        <v>193</v>
      </c>
      <c r="R132" t="s">
        <v>652</v>
      </c>
      <c r="S132" s="8">
        <v>180033</v>
      </c>
      <c r="T132" s="10" t="str">
        <f t="shared" si="5"/>
        <v>00180033.pdf</v>
      </c>
      <c r="U132" s="9" t="str">
        <f>HYPERLINK(CONCATENATE("https://bte.dgcp.mtsss.gov.pt/documentos/",A132,"/",F132,"/",T132))</f>
        <v>https://bte.dgcp.mtsss.gov.pt/documentos/2026/14/00180033.pdf</v>
      </c>
    </row>
    <row r="133" spans="1:21">
      <c r="A133" s="11" t="str">
        <f t="shared" si="4"/>
        <v>2026</v>
      </c>
      <c r="B133" s="1" t="s">
        <v>653</v>
      </c>
      <c r="C133" s="2" t="s">
        <v>654</v>
      </c>
      <c r="D133" s="3" t="s">
        <v>23</v>
      </c>
      <c r="E133" s="3">
        <v>93</v>
      </c>
      <c r="F133" s="4" t="s">
        <v>647</v>
      </c>
      <c r="G133" s="5">
        <v>46127</v>
      </c>
      <c r="H133" s="5">
        <v>46127</v>
      </c>
      <c r="I133" s="6"/>
      <c r="J133" s="7"/>
      <c r="K133" s="6">
        <v>26760</v>
      </c>
      <c r="L133" t="s">
        <v>655</v>
      </c>
      <c r="N133" s="3" t="s">
        <v>656</v>
      </c>
      <c r="Q133" t="s">
        <v>580</v>
      </c>
      <c r="S133" s="8">
        <v>370038</v>
      </c>
      <c r="T133" s="10" t="str">
        <f t="shared" si="5"/>
        <v>00370038.pdf</v>
      </c>
      <c r="U133" s="9" t="str">
        <f>HYPERLINK(CONCATENATE("https://bte.dgcp.mtsss.gov.pt/documentos/",A133,"/",F133,"/",T133))</f>
        <v>https://bte.dgcp.mtsss.gov.pt/documentos/2026/14/00370038.pdf</v>
      </c>
    </row>
    <row r="134" spans="1:21">
      <c r="A134" s="11" t="str">
        <f t="shared" si="4"/>
        <v>2026</v>
      </c>
      <c r="B134" s="1" t="s">
        <v>657</v>
      </c>
      <c r="C134" s="2" t="s">
        <v>658</v>
      </c>
      <c r="D134" s="3" t="s">
        <v>23</v>
      </c>
      <c r="E134" s="3">
        <v>93</v>
      </c>
      <c r="F134" s="4" t="s">
        <v>647</v>
      </c>
      <c r="G134" s="5">
        <v>46127</v>
      </c>
      <c r="H134" s="5">
        <v>46127</v>
      </c>
      <c r="I134" s="6"/>
      <c r="J134" s="7"/>
      <c r="K134" s="6">
        <v>26274</v>
      </c>
      <c r="L134" t="s">
        <v>659</v>
      </c>
      <c r="N134" s="3" t="s">
        <v>660</v>
      </c>
      <c r="Q134" t="s">
        <v>488</v>
      </c>
      <c r="S134" s="8">
        <v>390040</v>
      </c>
      <c r="T134" s="10" t="str">
        <f t="shared" si="5"/>
        <v>00390040.pdf</v>
      </c>
      <c r="U134" s="9" t="str">
        <f>HYPERLINK(CONCATENATE("https://bte.dgcp.mtsss.gov.pt/documentos/",A134,"/",F134,"/",T134))</f>
        <v>https://bte.dgcp.mtsss.gov.pt/documentos/2026/14/00390040.pdf</v>
      </c>
    </row>
    <row r="135" spans="1:21">
      <c r="A135" s="11" t="str">
        <f t="shared" si="4"/>
        <v>2026</v>
      </c>
      <c r="B135" s="1" t="s">
        <v>661</v>
      </c>
      <c r="C135" s="2" t="s">
        <v>662</v>
      </c>
      <c r="D135" s="3" t="s">
        <v>23</v>
      </c>
      <c r="E135" s="3">
        <v>93</v>
      </c>
      <c r="F135" s="4" t="s">
        <v>647</v>
      </c>
      <c r="G135" s="5">
        <v>46127</v>
      </c>
      <c r="H135" s="5">
        <v>46127</v>
      </c>
      <c r="I135" s="6"/>
      <c r="J135" s="7"/>
      <c r="K135" s="6">
        <v>26754</v>
      </c>
      <c r="L135" t="s">
        <v>663</v>
      </c>
      <c r="N135" s="3" t="s">
        <v>664</v>
      </c>
      <c r="Q135" t="s">
        <v>665</v>
      </c>
      <c r="S135" s="8">
        <v>410042</v>
      </c>
      <c r="T135" s="10" t="str">
        <f t="shared" si="5"/>
        <v>00410042.pdf</v>
      </c>
      <c r="U135" s="9" t="str">
        <f>HYPERLINK(CONCATENATE("https://bte.dgcp.mtsss.gov.pt/documentos/",A135,"/",F135,"/",T135))</f>
        <v>https://bte.dgcp.mtsss.gov.pt/documentos/2026/14/00410042.pdf</v>
      </c>
    </row>
    <row r="136" spans="1:21">
      <c r="A136" s="11" t="str">
        <f t="shared" si="4"/>
        <v>2026</v>
      </c>
      <c r="B136" s="1" t="s">
        <v>666</v>
      </c>
      <c r="C136" s="2" t="s">
        <v>667</v>
      </c>
      <c r="D136" s="3" t="s">
        <v>23</v>
      </c>
      <c r="E136" s="3">
        <v>93</v>
      </c>
      <c r="F136" s="4" t="s">
        <v>647</v>
      </c>
      <c r="G136" s="5">
        <v>46127</v>
      </c>
      <c r="H136" s="5">
        <v>46127</v>
      </c>
      <c r="I136" s="6"/>
      <c r="J136" s="7"/>
      <c r="K136" s="6">
        <v>27185</v>
      </c>
      <c r="L136" t="s">
        <v>668</v>
      </c>
      <c r="N136" s="3" t="s">
        <v>669</v>
      </c>
      <c r="Q136" t="s">
        <v>670</v>
      </c>
      <c r="S136" s="8">
        <v>430044</v>
      </c>
      <c r="T136" s="10" t="str">
        <f t="shared" si="5"/>
        <v>00430044.pdf</v>
      </c>
      <c r="U136" s="9" t="str">
        <f>HYPERLINK(CONCATENATE("https://bte.dgcp.mtsss.gov.pt/documentos/",A136,"/",F136,"/",T136))</f>
        <v>https://bte.dgcp.mtsss.gov.pt/documentos/2026/14/00430044.pdf</v>
      </c>
    </row>
    <row r="137" spans="1:21">
      <c r="A137" s="11" t="str">
        <f t="shared" si="4"/>
        <v>2026</v>
      </c>
      <c r="B137" s="1" t="s">
        <v>671</v>
      </c>
      <c r="C137" s="2" t="s">
        <v>672</v>
      </c>
      <c r="D137" s="3" t="s">
        <v>99</v>
      </c>
      <c r="E137" s="3">
        <v>93</v>
      </c>
      <c r="F137" s="4" t="s">
        <v>647</v>
      </c>
      <c r="G137" s="5">
        <v>46127</v>
      </c>
      <c r="H137" s="5">
        <v>46127</v>
      </c>
      <c r="I137" s="6"/>
      <c r="J137" s="7"/>
      <c r="K137" s="6">
        <v>17223</v>
      </c>
      <c r="N137" s="3" t="s">
        <v>673</v>
      </c>
      <c r="Q137" t="s">
        <v>674</v>
      </c>
      <c r="R137" t="s">
        <v>675</v>
      </c>
      <c r="S137" s="8">
        <v>450080</v>
      </c>
      <c r="T137" s="10" t="str">
        <f t="shared" si="5"/>
        <v>00450080.pdf</v>
      </c>
      <c r="U137" s="9" t="str">
        <f>HYPERLINK(CONCATENATE("https://bte.dgcp.mtsss.gov.pt/documentos/",A137,"/",F137,"/",T137))</f>
        <v>https://bte.dgcp.mtsss.gov.pt/documentos/2026/14/00450080.pdf</v>
      </c>
    </row>
    <row r="138" spans="1:21">
      <c r="A138" s="11" t="str">
        <f t="shared" si="4"/>
        <v>2026</v>
      </c>
      <c r="B138" s="1" t="s">
        <v>676</v>
      </c>
      <c r="C138" s="2" t="s">
        <v>677</v>
      </c>
      <c r="D138" s="3" t="s">
        <v>105</v>
      </c>
      <c r="E138" s="3">
        <v>93</v>
      </c>
      <c r="F138" s="4" t="s">
        <v>647</v>
      </c>
      <c r="G138" s="5">
        <v>46127</v>
      </c>
      <c r="H138" s="5">
        <v>46127</v>
      </c>
      <c r="I138" s="6"/>
      <c r="J138" s="7"/>
      <c r="K138" s="6">
        <v>46513</v>
      </c>
      <c r="L138" t="s">
        <v>678</v>
      </c>
      <c r="N138" s="3" t="s">
        <v>679</v>
      </c>
      <c r="Q138" t="s">
        <v>680</v>
      </c>
      <c r="R138" t="s">
        <v>681</v>
      </c>
      <c r="S138" s="8">
        <v>810085</v>
      </c>
      <c r="T138" s="10" t="str">
        <f t="shared" si="5"/>
        <v>00810085.pdf</v>
      </c>
      <c r="U138" s="9" t="str">
        <f>HYPERLINK(CONCATENATE("https://bte.dgcp.mtsss.gov.pt/documentos/",A138,"/",F138,"/",T138))</f>
        <v>https://bte.dgcp.mtsss.gov.pt/documentos/2026/14/00810085.pdf</v>
      </c>
    </row>
    <row r="139" spans="1:21">
      <c r="A139" s="11" t="str">
        <f t="shared" si="4"/>
        <v>2026</v>
      </c>
      <c r="B139" s="1" t="s">
        <v>682</v>
      </c>
      <c r="C139" s="2" t="s">
        <v>683</v>
      </c>
      <c r="D139" s="3" t="s">
        <v>105</v>
      </c>
      <c r="E139" s="3">
        <v>93</v>
      </c>
      <c r="F139" s="4" t="s">
        <v>647</v>
      </c>
      <c r="G139" s="5">
        <v>46127</v>
      </c>
      <c r="H139" s="5">
        <v>46127</v>
      </c>
      <c r="I139" s="6"/>
      <c r="J139" s="7"/>
      <c r="K139" s="6">
        <v>44952</v>
      </c>
      <c r="N139" s="3" t="s">
        <v>684</v>
      </c>
      <c r="Q139" t="s">
        <v>685</v>
      </c>
      <c r="R139" t="s">
        <v>686</v>
      </c>
      <c r="S139" s="8">
        <v>860092</v>
      </c>
      <c r="T139" s="10" t="str">
        <f t="shared" si="5"/>
        <v>00860092.pdf</v>
      </c>
      <c r="U139" s="9" t="str">
        <f>HYPERLINK(CONCATENATE("https://bte.dgcp.mtsss.gov.pt/documentos/",A139,"/",F139,"/",T139))</f>
        <v>https://bte.dgcp.mtsss.gov.pt/documentos/2026/14/00860092.pdf</v>
      </c>
    </row>
    <row r="140" spans="1:21">
      <c r="A140" s="11" t="str">
        <f t="shared" si="4"/>
        <v>2026</v>
      </c>
      <c r="B140" s="1" t="s">
        <v>687</v>
      </c>
      <c r="C140" s="2" t="s">
        <v>688</v>
      </c>
      <c r="D140" s="3" t="s">
        <v>105</v>
      </c>
      <c r="E140" s="3">
        <v>93</v>
      </c>
      <c r="F140" s="4" t="s">
        <v>647</v>
      </c>
      <c r="G140" s="5">
        <v>46127</v>
      </c>
      <c r="H140" s="5">
        <v>46127</v>
      </c>
      <c r="I140" s="6"/>
      <c r="J140" s="7"/>
      <c r="K140" s="6">
        <v>47091</v>
      </c>
      <c r="L140" t="s">
        <v>689</v>
      </c>
      <c r="N140" s="3" t="s">
        <v>690</v>
      </c>
      <c r="Q140" t="s">
        <v>691</v>
      </c>
      <c r="R140" t="s">
        <v>692</v>
      </c>
      <c r="S140" s="8">
        <v>930095</v>
      </c>
      <c r="T140" s="10" t="str">
        <f t="shared" si="5"/>
        <v>00930095.pdf</v>
      </c>
      <c r="U140" s="9" t="str">
        <f>HYPERLINK(CONCATENATE("https://bte.dgcp.mtsss.gov.pt/documentos/",A140,"/",F140,"/",T140))</f>
        <v>https://bte.dgcp.mtsss.gov.pt/documentos/2026/14/00930095.pdf</v>
      </c>
    </row>
    <row r="141" spans="1:21">
      <c r="A141" s="11" t="str">
        <f t="shared" si="4"/>
        <v>2026</v>
      </c>
      <c r="B141" s="1" t="s">
        <v>693</v>
      </c>
      <c r="C141" s="2" t="s">
        <v>694</v>
      </c>
      <c r="D141" s="3" t="s">
        <v>105</v>
      </c>
      <c r="E141" s="3">
        <v>93</v>
      </c>
      <c r="F141" s="4" t="s">
        <v>647</v>
      </c>
      <c r="G141" s="5">
        <v>46127</v>
      </c>
      <c r="H141" s="5">
        <v>46127</v>
      </c>
      <c r="I141" s="6"/>
      <c r="J141" s="7"/>
      <c r="K141" s="6">
        <v>47130</v>
      </c>
      <c r="N141" s="3" t="s">
        <v>695</v>
      </c>
      <c r="Q141" t="s">
        <v>696</v>
      </c>
      <c r="R141" t="s">
        <v>697</v>
      </c>
      <c r="S141" s="8">
        <v>960131</v>
      </c>
      <c r="T141" s="10" t="str">
        <f t="shared" si="5"/>
        <v>00960131.pdf</v>
      </c>
      <c r="U141" s="9" t="str">
        <f>HYPERLINK(CONCATENATE("https://bte.dgcp.mtsss.gov.pt/documentos/",A141,"/",F141,"/",T141))</f>
        <v>https://bte.dgcp.mtsss.gov.pt/documentos/2026/14/00960131.pdf</v>
      </c>
    </row>
    <row r="142" spans="1:21">
      <c r="A142" s="11" t="str">
        <f t="shared" si="4"/>
        <v>2026</v>
      </c>
      <c r="B142" s="1" t="s">
        <v>698</v>
      </c>
      <c r="C142" s="2" t="s">
        <v>699</v>
      </c>
      <c r="D142" s="3" t="s">
        <v>105</v>
      </c>
      <c r="E142" s="3">
        <v>93</v>
      </c>
      <c r="F142" s="4" t="s">
        <v>647</v>
      </c>
      <c r="G142" s="5">
        <v>46127</v>
      </c>
      <c r="H142" s="5">
        <v>46127</v>
      </c>
      <c r="I142" s="6"/>
      <c r="J142" s="7"/>
      <c r="K142" s="6">
        <v>46631</v>
      </c>
      <c r="L142" t="s">
        <v>700</v>
      </c>
      <c r="N142" s="3" t="s">
        <v>701</v>
      </c>
      <c r="Q142" t="s">
        <v>702</v>
      </c>
      <c r="R142" t="s">
        <v>703</v>
      </c>
      <c r="S142" s="8">
        <v>1320136</v>
      </c>
      <c r="T142" s="10" t="str">
        <f t="shared" si="5"/>
        <v>01320136.pdf</v>
      </c>
      <c r="U142" s="9" t="str">
        <f>HYPERLINK(CONCATENATE("https://bte.dgcp.mtsss.gov.pt/documentos/",A142,"/",F142,"/",T142))</f>
        <v>https://bte.dgcp.mtsss.gov.pt/documentos/2026/14/01320136.pdf</v>
      </c>
    </row>
    <row r="143" spans="1:21">
      <c r="A143" s="11" t="str">
        <f t="shared" si="4"/>
        <v>2026</v>
      </c>
      <c r="B143" s="1" t="s">
        <v>704</v>
      </c>
      <c r="C143" s="2" t="s">
        <v>705</v>
      </c>
      <c r="D143" s="3" t="s">
        <v>99</v>
      </c>
      <c r="E143" s="3">
        <v>93</v>
      </c>
      <c r="F143" s="4" t="s">
        <v>706</v>
      </c>
      <c r="G143" s="5">
        <v>46134</v>
      </c>
      <c r="H143" s="5">
        <v>46134</v>
      </c>
      <c r="I143" s="6"/>
      <c r="J143" s="7"/>
      <c r="K143" s="6"/>
      <c r="N143" s="3" t="s">
        <v>707</v>
      </c>
      <c r="Q143" t="s">
        <v>193</v>
      </c>
      <c r="R143" t="s">
        <v>708</v>
      </c>
      <c r="S143" s="8">
        <v>50020</v>
      </c>
      <c r="T143" s="10" t="str">
        <f t="shared" si="5"/>
        <v>00050020.pdf</v>
      </c>
      <c r="U143" s="9" t="str">
        <f>HYPERLINK(CONCATENATE("https://bte.dgcp.mtsss.gov.pt/documentos/",A143,"/",F143,"/",T143))</f>
        <v>https://bte.dgcp.mtsss.gov.pt/documentos/2026/15/00050020.pdf</v>
      </c>
    </row>
    <row r="144" spans="1:21">
      <c r="A144" s="11" t="str">
        <f t="shared" si="4"/>
        <v>2026</v>
      </c>
      <c r="B144" s="1" t="s">
        <v>709</v>
      </c>
      <c r="C144" s="2" t="s">
        <v>710</v>
      </c>
      <c r="D144" s="3" t="s">
        <v>99</v>
      </c>
      <c r="E144" s="3">
        <v>93</v>
      </c>
      <c r="F144" s="4" t="s">
        <v>706</v>
      </c>
      <c r="G144" s="5">
        <v>46134</v>
      </c>
      <c r="H144" s="5">
        <v>46134</v>
      </c>
      <c r="I144" s="6"/>
      <c r="J144" s="7"/>
      <c r="K144" s="6"/>
      <c r="N144" s="3" t="s">
        <v>711</v>
      </c>
      <c r="Q144" t="s">
        <v>193</v>
      </c>
      <c r="R144" t="s">
        <v>712</v>
      </c>
      <c r="S144" s="8">
        <v>210036</v>
      </c>
      <c r="T144" s="10" t="str">
        <f t="shared" si="5"/>
        <v>00210036.pdf</v>
      </c>
      <c r="U144" s="9" t="str">
        <f>HYPERLINK(CONCATENATE("https://bte.dgcp.mtsss.gov.pt/documentos/",A144,"/",F144,"/",T144))</f>
        <v>https://bte.dgcp.mtsss.gov.pt/documentos/2026/15/00210036.pdf</v>
      </c>
    </row>
    <row r="145" spans="1:21">
      <c r="A145" s="11" t="str">
        <f t="shared" si="4"/>
        <v>2026</v>
      </c>
      <c r="B145" s="1" t="s">
        <v>713</v>
      </c>
      <c r="C145" s="2" t="s">
        <v>714</v>
      </c>
      <c r="D145" s="3" t="s">
        <v>222</v>
      </c>
      <c r="E145" s="3">
        <v>93</v>
      </c>
      <c r="F145" s="4" t="s">
        <v>706</v>
      </c>
      <c r="G145" s="5">
        <v>46134</v>
      </c>
      <c r="H145" s="5">
        <v>46134</v>
      </c>
      <c r="I145" s="6"/>
      <c r="J145" s="7"/>
      <c r="K145" s="6"/>
      <c r="N145" s="3" t="s">
        <v>715</v>
      </c>
      <c r="Q145" t="s">
        <v>193</v>
      </c>
      <c r="R145" t="s">
        <v>716</v>
      </c>
      <c r="S145" s="8">
        <v>370048</v>
      </c>
      <c r="T145" s="10" t="str">
        <f t="shared" si="5"/>
        <v>00370048.pdf</v>
      </c>
      <c r="U145" s="9" t="str">
        <f>HYPERLINK(CONCATENATE("https://bte.dgcp.mtsss.gov.pt/documentos/",A145,"/",F145,"/",T145))</f>
        <v>https://bte.dgcp.mtsss.gov.pt/documentos/2026/15/00370048.pdf</v>
      </c>
    </row>
    <row r="146" spans="1:21">
      <c r="A146" s="11" t="str">
        <f t="shared" si="4"/>
        <v>2026</v>
      </c>
      <c r="B146" s="1" t="s">
        <v>717</v>
      </c>
      <c r="C146" s="2" t="s">
        <v>718</v>
      </c>
      <c r="D146" s="3" t="s">
        <v>222</v>
      </c>
      <c r="E146" s="3">
        <v>93</v>
      </c>
      <c r="F146" s="4" t="s">
        <v>706</v>
      </c>
      <c r="G146" s="5">
        <v>46134</v>
      </c>
      <c r="H146" s="5">
        <v>46134</v>
      </c>
      <c r="I146" s="6"/>
      <c r="J146" s="7"/>
      <c r="K146" s="6"/>
      <c r="L146" t="s">
        <v>719</v>
      </c>
      <c r="N146" s="3" t="s">
        <v>720</v>
      </c>
      <c r="Q146" t="s">
        <v>721</v>
      </c>
      <c r="R146" t="s">
        <v>722</v>
      </c>
      <c r="S146" s="8">
        <v>490050</v>
      </c>
      <c r="T146" s="10" t="str">
        <f t="shared" si="5"/>
        <v>00490050.pdf</v>
      </c>
      <c r="U146" s="9" t="str">
        <f>HYPERLINK(CONCATENATE("https://bte.dgcp.mtsss.gov.pt/documentos/",A146,"/",F146,"/",T146))</f>
        <v>https://bte.dgcp.mtsss.gov.pt/documentos/2026/15/00490050.pdf</v>
      </c>
    </row>
    <row r="147" spans="1:21">
      <c r="A147" s="11" t="str">
        <f t="shared" si="4"/>
        <v>2026</v>
      </c>
      <c r="B147" s="1" t="s">
        <v>723</v>
      </c>
      <c r="C147" s="2" t="s">
        <v>724</v>
      </c>
      <c r="D147" s="3" t="s">
        <v>288</v>
      </c>
      <c r="E147" s="3">
        <v>93</v>
      </c>
      <c r="F147" s="4" t="s">
        <v>706</v>
      </c>
      <c r="G147" s="5">
        <v>46134</v>
      </c>
      <c r="H147" s="5">
        <v>46134</v>
      </c>
      <c r="I147" s="6"/>
      <c r="J147" s="7"/>
      <c r="K147" s="6">
        <v>27224</v>
      </c>
      <c r="N147" s="3" t="s">
        <v>26</v>
      </c>
      <c r="Q147" t="s">
        <v>27</v>
      </c>
      <c r="R147" t="s">
        <v>725</v>
      </c>
      <c r="S147" s="8">
        <v>530078</v>
      </c>
      <c r="T147" s="10" t="str">
        <f t="shared" si="5"/>
        <v>00530078.pdf</v>
      </c>
      <c r="U147" s="9" t="str">
        <f>HYPERLINK(CONCATENATE("https://bte.dgcp.mtsss.gov.pt/documentos/",A147,"/",F147,"/",T147))</f>
        <v>https://bte.dgcp.mtsss.gov.pt/documentos/2026/15/00530078.pdf</v>
      </c>
    </row>
    <row r="148" spans="1:21">
      <c r="A148" s="11" t="str">
        <f t="shared" si="4"/>
        <v>2026</v>
      </c>
      <c r="B148" s="1" t="s">
        <v>726</v>
      </c>
      <c r="C148" s="2" t="s">
        <v>727</v>
      </c>
      <c r="D148" s="3" t="s">
        <v>271</v>
      </c>
      <c r="E148" s="3">
        <v>93</v>
      </c>
      <c r="F148" s="4" t="s">
        <v>706</v>
      </c>
      <c r="G148" s="5">
        <v>46134</v>
      </c>
      <c r="H148" s="5">
        <v>46134</v>
      </c>
      <c r="I148" s="6"/>
      <c r="J148" s="7"/>
      <c r="K148" s="6">
        <v>27180</v>
      </c>
      <c r="L148" t="s">
        <v>728</v>
      </c>
      <c r="N148" s="3" t="s">
        <v>729</v>
      </c>
      <c r="Q148" t="s">
        <v>730</v>
      </c>
      <c r="R148" t="s">
        <v>731</v>
      </c>
      <c r="S148" s="8">
        <v>790084</v>
      </c>
      <c r="T148" s="10" t="str">
        <f t="shared" si="5"/>
        <v>00790084.pdf</v>
      </c>
      <c r="U148" s="9" t="str">
        <f>HYPERLINK(CONCATENATE("https://bte.dgcp.mtsss.gov.pt/documentos/",A148,"/",F148,"/",T148))</f>
        <v>https://bte.dgcp.mtsss.gov.pt/documentos/2026/15/00790084.pdf</v>
      </c>
    </row>
    <row r="149" spans="1:21">
      <c r="A149" s="11" t="str">
        <f t="shared" si="4"/>
        <v>2026</v>
      </c>
      <c r="B149" s="1" t="s">
        <v>732</v>
      </c>
      <c r="C149" s="2" t="s">
        <v>733</v>
      </c>
      <c r="D149" s="3" t="s">
        <v>271</v>
      </c>
      <c r="E149" s="3">
        <v>93</v>
      </c>
      <c r="F149" s="4" t="s">
        <v>706</v>
      </c>
      <c r="G149" s="5">
        <v>46134</v>
      </c>
      <c r="H149" s="5">
        <v>46134</v>
      </c>
      <c r="I149" s="6"/>
      <c r="J149" s="7"/>
      <c r="K149" s="6">
        <v>25991</v>
      </c>
      <c r="L149" t="s">
        <v>734</v>
      </c>
      <c r="N149" s="3" t="s">
        <v>735</v>
      </c>
      <c r="Q149" t="s">
        <v>736</v>
      </c>
      <c r="R149" t="s">
        <v>737</v>
      </c>
      <c r="S149" s="8">
        <v>850091</v>
      </c>
      <c r="T149" s="10" t="str">
        <f t="shared" si="5"/>
        <v>00850091.pdf</v>
      </c>
      <c r="U149" s="9" t="str">
        <f>HYPERLINK(CONCATENATE("https://bte.dgcp.mtsss.gov.pt/documentos/",A149,"/",F149,"/",T149))</f>
        <v>https://bte.dgcp.mtsss.gov.pt/documentos/2026/15/00850091.pdf</v>
      </c>
    </row>
    <row r="150" spans="1:21">
      <c r="A150" s="11" t="str">
        <f t="shared" si="4"/>
        <v>2026</v>
      </c>
      <c r="B150" s="1" t="s">
        <v>738</v>
      </c>
      <c r="C150" s="2" t="s">
        <v>739</v>
      </c>
      <c r="D150" s="3" t="s">
        <v>271</v>
      </c>
      <c r="E150" s="3">
        <v>93</v>
      </c>
      <c r="F150" s="4" t="s">
        <v>706</v>
      </c>
      <c r="G150" s="5">
        <v>46134</v>
      </c>
      <c r="H150" s="5">
        <v>46134</v>
      </c>
      <c r="I150" s="6"/>
      <c r="J150" s="7"/>
      <c r="K150" s="6">
        <v>26002</v>
      </c>
      <c r="L150" t="s">
        <v>740</v>
      </c>
      <c r="N150" s="3" t="s">
        <v>135</v>
      </c>
      <c r="Q150" t="s">
        <v>741</v>
      </c>
      <c r="R150" t="s">
        <v>742</v>
      </c>
      <c r="S150" s="8">
        <v>920096</v>
      </c>
      <c r="T150" s="10" t="str">
        <f t="shared" si="5"/>
        <v>00920096.pdf</v>
      </c>
      <c r="U150" s="9" t="str">
        <f>HYPERLINK(CONCATENATE("https://bte.dgcp.mtsss.gov.pt/documentos/",A150,"/",F150,"/",T150))</f>
        <v>https://bte.dgcp.mtsss.gov.pt/documentos/2026/15/00920096.pdf</v>
      </c>
    </row>
    <row r="151" spans="1:21">
      <c r="A151" s="11" t="str">
        <f t="shared" si="4"/>
        <v>2026</v>
      </c>
      <c r="B151" s="1" t="s">
        <v>743</v>
      </c>
      <c r="C151" s="2" t="s">
        <v>744</v>
      </c>
      <c r="D151" s="3" t="s">
        <v>271</v>
      </c>
      <c r="E151" s="3">
        <v>93</v>
      </c>
      <c r="F151" s="4" t="s">
        <v>706</v>
      </c>
      <c r="G151" s="5">
        <v>46134</v>
      </c>
      <c r="H151" s="5">
        <v>46134</v>
      </c>
      <c r="I151" s="6"/>
      <c r="J151" s="7"/>
      <c r="K151" s="6">
        <v>26567</v>
      </c>
      <c r="N151" s="3" t="s">
        <v>60</v>
      </c>
      <c r="Q151" t="s">
        <v>61</v>
      </c>
      <c r="R151" t="s">
        <v>745</v>
      </c>
      <c r="S151" s="8">
        <v>970133</v>
      </c>
      <c r="T151" s="10" t="str">
        <f t="shared" si="5"/>
        <v>00970133.pdf</v>
      </c>
      <c r="U151" s="9" t="str">
        <f>HYPERLINK(CONCATENATE("https://bte.dgcp.mtsss.gov.pt/documentos/",A151,"/",F151,"/",T151))</f>
        <v>https://bte.dgcp.mtsss.gov.pt/documentos/2026/15/00970133.pdf</v>
      </c>
    </row>
    <row r="152" spans="1:21">
      <c r="A152" s="11" t="str">
        <f t="shared" si="4"/>
        <v>2026</v>
      </c>
      <c r="B152" s="1" t="s">
        <v>746</v>
      </c>
      <c r="C152" s="2" t="s">
        <v>747</v>
      </c>
      <c r="D152" s="3" t="s">
        <v>271</v>
      </c>
      <c r="E152" s="3">
        <v>93</v>
      </c>
      <c r="F152" s="4" t="s">
        <v>706</v>
      </c>
      <c r="G152" s="5">
        <v>46134</v>
      </c>
      <c r="H152" s="5">
        <v>46134</v>
      </c>
      <c r="I152" s="6"/>
      <c r="J152" s="7"/>
      <c r="K152" s="6">
        <v>27125</v>
      </c>
      <c r="L152" t="s">
        <v>748</v>
      </c>
      <c r="N152" s="3" t="s">
        <v>749</v>
      </c>
      <c r="Q152" t="s">
        <v>750</v>
      </c>
      <c r="R152" t="s">
        <v>751</v>
      </c>
      <c r="S152" s="8">
        <v>1340137</v>
      </c>
      <c r="T152" s="10" t="str">
        <f t="shared" si="5"/>
        <v>01340137.pdf</v>
      </c>
      <c r="U152" s="9" t="str">
        <f>HYPERLINK(CONCATENATE("https://bte.dgcp.mtsss.gov.pt/documentos/",A152,"/",F152,"/",T152))</f>
        <v>https://bte.dgcp.mtsss.gov.pt/documentos/2026/15/01340137.pdf</v>
      </c>
    </row>
    <row r="153" spans="1:21">
      <c r="A153" s="11" t="str">
        <f t="shared" si="4"/>
        <v>2026</v>
      </c>
      <c r="B153" s="1" t="s">
        <v>752</v>
      </c>
      <c r="C153" s="2" t="s">
        <v>753</v>
      </c>
      <c r="D153" s="3" t="s">
        <v>271</v>
      </c>
      <c r="E153" s="3">
        <v>93</v>
      </c>
      <c r="F153" s="4" t="s">
        <v>706</v>
      </c>
      <c r="G153" s="5">
        <v>46134</v>
      </c>
      <c r="H153" s="5">
        <v>46134</v>
      </c>
      <c r="I153" s="6"/>
      <c r="J153" s="7"/>
      <c r="K153" s="6">
        <v>27182</v>
      </c>
      <c r="L153" t="s">
        <v>754</v>
      </c>
      <c r="N153" s="3" t="s">
        <v>755</v>
      </c>
      <c r="Q153" t="s">
        <v>756</v>
      </c>
      <c r="R153" t="s">
        <v>757</v>
      </c>
      <c r="S153" s="8">
        <v>1380140</v>
      </c>
      <c r="T153" s="10" t="str">
        <f t="shared" si="5"/>
        <v>01380140.pdf</v>
      </c>
      <c r="U153" s="9" t="str">
        <f>HYPERLINK(CONCATENATE("https://bte.dgcp.mtsss.gov.pt/documentos/",A153,"/",F153,"/",T153))</f>
        <v>https://bte.dgcp.mtsss.gov.pt/documentos/2026/15/01380140.pdf</v>
      </c>
    </row>
    <row r="154" spans="1:21">
      <c r="A154" s="11" t="str">
        <f t="shared" si="4"/>
        <v>2026</v>
      </c>
      <c r="B154" s="1" t="s">
        <v>758</v>
      </c>
      <c r="C154" s="2" t="s">
        <v>759</v>
      </c>
      <c r="D154" s="3" t="s">
        <v>271</v>
      </c>
      <c r="E154" s="3">
        <v>93</v>
      </c>
      <c r="F154" s="4" t="s">
        <v>706</v>
      </c>
      <c r="G154" s="5">
        <v>46134</v>
      </c>
      <c r="H154" s="5">
        <v>46134</v>
      </c>
      <c r="I154" s="6"/>
      <c r="J154" s="7"/>
      <c r="K154" s="6">
        <v>25876</v>
      </c>
      <c r="L154" t="s">
        <v>760</v>
      </c>
      <c r="N154" s="3" t="s">
        <v>761</v>
      </c>
      <c r="Q154" t="s">
        <v>762</v>
      </c>
      <c r="R154" t="s">
        <v>763</v>
      </c>
      <c r="S154" s="8">
        <v>1410146</v>
      </c>
      <c r="T154" s="10" t="str">
        <f t="shared" si="5"/>
        <v>01410146.pdf</v>
      </c>
      <c r="U154" s="9" t="str">
        <f>HYPERLINK(CONCATENATE("https://bte.dgcp.mtsss.gov.pt/documentos/",A154,"/",F154,"/",T154))</f>
        <v>https://bte.dgcp.mtsss.gov.pt/documentos/2026/15/01410146.pdf</v>
      </c>
    </row>
    <row r="155" spans="1:21">
      <c r="A155" s="11" t="str">
        <f t="shared" si="4"/>
        <v>2026</v>
      </c>
      <c r="B155" s="1" t="s">
        <v>764</v>
      </c>
      <c r="C155" s="2" t="s">
        <v>765</v>
      </c>
      <c r="D155" s="3" t="s">
        <v>271</v>
      </c>
      <c r="E155" s="3">
        <v>93</v>
      </c>
      <c r="F155" s="4" t="s">
        <v>706</v>
      </c>
      <c r="G155" s="5">
        <v>46134</v>
      </c>
      <c r="H155" s="5">
        <v>46134</v>
      </c>
      <c r="I155" s="6"/>
      <c r="J155" s="7"/>
      <c r="K155" s="6">
        <v>26125</v>
      </c>
      <c r="L155" t="s">
        <v>766</v>
      </c>
      <c r="N155" s="3" t="s">
        <v>247</v>
      </c>
      <c r="Q155" t="s">
        <v>767</v>
      </c>
      <c r="R155" t="s">
        <v>768</v>
      </c>
      <c r="S155" s="8">
        <v>1470151</v>
      </c>
      <c r="T155" s="10" t="str">
        <f t="shared" si="5"/>
        <v>01470151.pdf</v>
      </c>
      <c r="U155" s="9" t="str">
        <f>HYPERLINK(CONCATENATE("https://bte.dgcp.mtsss.gov.pt/documentos/",A155,"/",F155,"/",T155))</f>
        <v>https://bte.dgcp.mtsss.gov.pt/documentos/2026/15/01470151.pdf</v>
      </c>
    </row>
    <row r="156" spans="1:21">
      <c r="A156" s="11" t="str">
        <f t="shared" si="4"/>
        <v>2026</v>
      </c>
      <c r="B156" s="1" t="s">
        <v>769</v>
      </c>
      <c r="C156" s="2" t="s">
        <v>770</v>
      </c>
      <c r="D156" s="3" t="s">
        <v>99</v>
      </c>
      <c r="E156" s="3">
        <v>93</v>
      </c>
      <c r="F156" s="4" t="s">
        <v>706</v>
      </c>
      <c r="G156" s="5">
        <v>46134</v>
      </c>
      <c r="H156" s="5">
        <v>46134</v>
      </c>
      <c r="I156" s="6"/>
      <c r="J156" s="7"/>
      <c r="K156" s="6">
        <v>17225</v>
      </c>
      <c r="N156" s="3" t="s">
        <v>771</v>
      </c>
      <c r="Q156" t="s">
        <v>420</v>
      </c>
      <c r="R156" t="s">
        <v>772</v>
      </c>
      <c r="S156" s="8">
        <v>1520175</v>
      </c>
      <c r="T156" s="10" t="str">
        <f t="shared" si="5"/>
        <v>01520175.pdf</v>
      </c>
      <c r="U156" s="9" t="str">
        <f>HYPERLINK(CONCATENATE("https://bte.dgcp.mtsss.gov.pt/documentos/",A156,"/",F156,"/",T156))</f>
        <v>https://bte.dgcp.mtsss.gov.pt/documentos/2026/15/01520175.pdf</v>
      </c>
    </row>
    <row r="157" spans="1:21">
      <c r="A157" s="11" t="str">
        <f t="shared" si="4"/>
        <v>2026</v>
      </c>
      <c r="B157" s="1" t="s">
        <v>773</v>
      </c>
      <c r="C157" s="2" t="s">
        <v>774</v>
      </c>
      <c r="D157" s="3" t="s">
        <v>99</v>
      </c>
      <c r="E157" s="3">
        <v>93</v>
      </c>
      <c r="F157" s="4" t="s">
        <v>706</v>
      </c>
      <c r="G157" s="5">
        <v>46134</v>
      </c>
      <c r="H157" s="5">
        <v>46134</v>
      </c>
      <c r="I157" s="6"/>
      <c r="J157" s="7"/>
      <c r="K157" s="6">
        <v>17226</v>
      </c>
      <c r="N157" s="3" t="s">
        <v>775</v>
      </c>
      <c r="Q157" t="s">
        <v>420</v>
      </c>
      <c r="R157" t="s">
        <v>776</v>
      </c>
      <c r="S157" s="8">
        <v>1760199</v>
      </c>
      <c r="T157" s="10" t="str">
        <f t="shared" si="5"/>
        <v>01760199.pdf</v>
      </c>
      <c r="U157" s="9" t="str">
        <f>HYPERLINK(CONCATENATE("https://bte.dgcp.mtsss.gov.pt/documentos/",A157,"/",F157,"/",T157))</f>
        <v>https://bte.dgcp.mtsss.gov.pt/documentos/2026/15/01760199.pdf</v>
      </c>
    </row>
    <row r="158" spans="1:21">
      <c r="A158" s="11" t="str">
        <f t="shared" si="4"/>
        <v>2026</v>
      </c>
      <c r="B158" s="1" t="s">
        <v>777</v>
      </c>
      <c r="C158" s="2" t="s">
        <v>778</v>
      </c>
      <c r="D158" s="3" t="s">
        <v>105</v>
      </c>
      <c r="E158" s="3">
        <v>93</v>
      </c>
      <c r="F158" s="4" t="s">
        <v>706</v>
      </c>
      <c r="G158" s="5">
        <v>46134</v>
      </c>
      <c r="H158" s="5">
        <v>46134</v>
      </c>
      <c r="I158" s="6"/>
      <c r="J158" s="7"/>
      <c r="K158" s="6">
        <v>46111</v>
      </c>
      <c r="N158" s="3" t="s">
        <v>779</v>
      </c>
      <c r="Q158" t="s">
        <v>780</v>
      </c>
      <c r="R158" t="s">
        <v>781</v>
      </c>
      <c r="S158" s="8">
        <v>2000268</v>
      </c>
      <c r="T158" s="10" t="str">
        <f t="shared" si="5"/>
        <v>02000268.pdf</v>
      </c>
      <c r="U158" s="9" t="str">
        <f>HYPERLINK(CONCATENATE("https://bte.dgcp.mtsss.gov.pt/documentos/",A158,"/",F158,"/",T158))</f>
        <v>https://bte.dgcp.mtsss.gov.pt/documentos/2026/15/02000268.pdf</v>
      </c>
    </row>
    <row r="159" spans="1:21">
      <c r="A159" s="11" t="str">
        <f t="shared" si="4"/>
        <v>2026</v>
      </c>
      <c r="B159" s="1" t="s">
        <v>782</v>
      </c>
      <c r="C159" s="2" t="s">
        <v>783</v>
      </c>
      <c r="D159" s="3" t="s">
        <v>105</v>
      </c>
      <c r="E159" s="3">
        <v>93</v>
      </c>
      <c r="F159" s="4" t="s">
        <v>706</v>
      </c>
      <c r="G159" s="5">
        <v>46134</v>
      </c>
      <c r="H159" s="5">
        <v>46134</v>
      </c>
      <c r="I159" s="6"/>
      <c r="J159" s="7"/>
      <c r="K159" s="6">
        <v>47148</v>
      </c>
      <c r="L159" t="s">
        <v>784</v>
      </c>
      <c r="N159" s="3" t="s">
        <v>785</v>
      </c>
      <c r="Q159" t="s">
        <v>786</v>
      </c>
      <c r="R159" t="s">
        <v>787</v>
      </c>
      <c r="S159" s="8">
        <v>2690270</v>
      </c>
      <c r="T159" s="10" t="str">
        <f t="shared" si="5"/>
        <v>02690270.pdf</v>
      </c>
      <c r="U159" s="9" t="str">
        <f>HYPERLINK(CONCATENATE("https://bte.dgcp.mtsss.gov.pt/documentos/",A159,"/",F159,"/",T159))</f>
        <v>https://bte.dgcp.mtsss.gov.pt/documentos/2026/15/02690270.pdf</v>
      </c>
    </row>
    <row r="160" spans="1:21">
      <c r="A160" s="11" t="str">
        <f t="shared" si="4"/>
        <v>2026</v>
      </c>
      <c r="B160" s="1" t="s">
        <v>788</v>
      </c>
      <c r="C160" s="2" t="s">
        <v>789</v>
      </c>
      <c r="D160" s="3" t="s">
        <v>105</v>
      </c>
      <c r="E160" s="3">
        <v>93</v>
      </c>
      <c r="F160" s="4" t="s">
        <v>706</v>
      </c>
      <c r="G160" s="5">
        <v>46134</v>
      </c>
      <c r="H160" s="5">
        <v>46134</v>
      </c>
      <c r="I160" s="6"/>
      <c r="J160" s="7"/>
      <c r="K160" s="6">
        <v>46405</v>
      </c>
      <c r="L160" t="s">
        <v>790</v>
      </c>
      <c r="N160" s="3" t="s">
        <v>791</v>
      </c>
      <c r="Q160" t="s">
        <v>792</v>
      </c>
      <c r="R160" t="s">
        <v>793</v>
      </c>
      <c r="S160" s="8">
        <v>2710278</v>
      </c>
      <c r="T160" s="10" t="str">
        <f t="shared" si="5"/>
        <v>02710278.pdf</v>
      </c>
      <c r="U160" s="9" t="str">
        <f>HYPERLINK(CONCATENATE("https://bte.dgcp.mtsss.gov.pt/documentos/",A160,"/",F160,"/",T160))</f>
        <v>https://bte.dgcp.mtsss.gov.pt/documentos/2026/15/02710278.pdf</v>
      </c>
    </row>
    <row r="161" spans="1:21">
      <c r="A161" s="11" t="str">
        <f t="shared" si="4"/>
        <v>2026</v>
      </c>
      <c r="B161" s="1" t="s">
        <v>794</v>
      </c>
      <c r="C161" s="2" t="s">
        <v>795</v>
      </c>
      <c r="D161" s="3" t="s">
        <v>99</v>
      </c>
      <c r="E161" s="3">
        <v>93</v>
      </c>
      <c r="F161" s="4" t="s">
        <v>796</v>
      </c>
      <c r="G161" s="5">
        <v>46141</v>
      </c>
      <c r="H161" s="5">
        <v>46141</v>
      </c>
      <c r="I161" s="6"/>
      <c r="J161" s="7"/>
      <c r="K161" s="6"/>
      <c r="N161" s="3" t="s">
        <v>797</v>
      </c>
      <c r="Q161" t="s">
        <v>193</v>
      </c>
      <c r="R161" t="s">
        <v>798</v>
      </c>
      <c r="S161" s="8">
        <v>1050120</v>
      </c>
      <c r="T161" s="10" t="str">
        <f t="shared" si="5"/>
        <v>01050120.pdf</v>
      </c>
      <c r="U161" s="9" t="str">
        <f>HYPERLINK(CONCATENATE("https://bte.dgcp.mtsss.gov.pt/documentos/",A161,"/",F161,"/",T161))</f>
        <v>https://bte.dgcp.mtsss.gov.pt/documentos/2026/16/01050120.pdf</v>
      </c>
    </row>
    <row r="162" spans="1:21">
      <c r="A162" s="11" t="str">
        <f t="shared" si="4"/>
        <v>2026</v>
      </c>
      <c r="B162" s="1" t="s">
        <v>799</v>
      </c>
      <c r="C162" s="2" t="s">
        <v>800</v>
      </c>
      <c r="D162" s="3" t="s">
        <v>99</v>
      </c>
      <c r="E162" s="3">
        <v>93</v>
      </c>
      <c r="F162" s="4" t="s">
        <v>796</v>
      </c>
      <c r="G162" s="5">
        <v>46141</v>
      </c>
      <c r="H162" s="5">
        <v>46141</v>
      </c>
      <c r="I162" s="6"/>
      <c r="J162" s="7"/>
      <c r="K162" s="6"/>
      <c r="N162" s="3"/>
      <c r="Q162" t="s">
        <v>193</v>
      </c>
      <c r="R162" t="s">
        <v>801</v>
      </c>
      <c r="S162" s="8">
        <v>1210136</v>
      </c>
      <c r="T162" s="10" t="str">
        <f t="shared" si="5"/>
        <v>01210136.pdf</v>
      </c>
      <c r="U162" s="9" t="str">
        <f>HYPERLINK(CONCATENATE("https://bte.dgcp.mtsss.gov.pt/documentos/",A162,"/",F162,"/",T162))</f>
        <v>https://bte.dgcp.mtsss.gov.pt/documentos/2026/16/01210136.pdf</v>
      </c>
    </row>
    <row r="163" spans="1:21">
      <c r="A163" s="11" t="str">
        <f t="shared" si="4"/>
        <v>2026</v>
      </c>
      <c r="B163" s="1" t="s">
        <v>802</v>
      </c>
      <c r="C163" s="2" t="s">
        <v>803</v>
      </c>
      <c r="D163" s="3" t="s">
        <v>23</v>
      </c>
      <c r="E163" s="3">
        <v>93</v>
      </c>
      <c r="F163" s="4" t="s">
        <v>796</v>
      </c>
      <c r="G163" s="5">
        <v>46141</v>
      </c>
      <c r="H163" s="5">
        <v>46141</v>
      </c>
      <c r="I163" s="6"/>
      <c r="J163" s="7"/>
      <c r="K163" s="6">
        <v>27189</v>
      </c>
      <c r="L163" t="s">
        <v>804</v>
      </c>
      <c r="N163" s="3" t="s">
        <v>805</v>
      </c>
      <c r="Q163" t="s">
        <v>806</v>
      </c>
      <c r="S163" s="8">
        <v>1390140</v>
      </c>
      <c r="T163" s="10" t="str">
        <f t="shared" si="5"/>
        <v>01390140.pdf</v>
      </c>
      <c r="U163" s="9" t="str">
        <f>HYPERLINK(CONCATENATE("https://bte.dgcp.mtsss.gov.pt/documentos/",A163,"/",F163,"/",T163))</f>
        <v>https://bte.dgcp.mtsss.gov.pt/documentos/2026/16/01390140.pdf</v>
      </c>
    </row>
    <row r="164" spans="1:21">
      <c r="A164" s="11" t="str">
        <f t="shared" si="4"/>
        <v>2026</v>
      </c>
      <c r="B164" s="1" t="s">
        <v>807</v>
      </c>
      <c r="C164" s="2" t="s">
        <v>808</v>
      </c>
      <c r="D164" s="3" t="s">
        <v>23</v>
      </c>
      <c r="E164" s="3">
        <v>93</v>
      </c>
      <c r="F164" s="4" t="s">
        <v>796</v>
      </c>
      <c r="G164" s="5">
        <v>46141</v>
      </c>
      <c r="H164" s="5">
        <v>46141</v>
      </c>
      <c r="I164" s="6"/>
      <c r="J164" s="7"/>
      <c r="K164" s="6">
        <v>27064</v>
      </c>
      <c r="L164" t="s">
        <v>809</v>
      </c>
      <c r="N164" s="3" t="s">
        <v>810</v>
      </c>
      <c r="Q164" t="s">
        <v>811</v>
      </c>
      <c r="S164" s="8">
        <v>1410142</v>
      </c>
      <c r="T164" s="10" t="str">
        <f t="shared" si="5"/>
        <v>01410142.pdf</v>
      </c>
      <c r="U164" s="9" t="str">
        <f>HYPERLINK(CONCATENATE("https://bte.dgcp.mtsss.gov.pt/documentos/",A164,"/",F164,"/",T164))</f>
        <v>https://bte.dgcp.mtsss.gov.pt/documentos/2026/16/01410142.pdf</v>
      </c>
    </row>
    <row r="165" spans="1:21">
      <c r="A165" s="11" t="str">
        <f t="shared" si="4"/>
        <v>2026</v>
      </c>
      <c r="B165" s="1" t="s">
        <v>812</v>
      </c>
      <c r="C165" s="2" t="s">
        <v>813</v>
      </c>
      <c r="D165" s="3" t="s">
        <v>271</v>
      </c>
      <c r="E165" s="3">
        <v>93</v>
      </c>
      <c r="F165" s="4" t="s">
        <v>796</v>
      </c>
      <c r="G165" s="5">
        <v>46141</v>
      </c>
      <c r="H165" s="5">
        <v>46141</v>
      </c>
      <c r="I165" s="6"/>
      <c r="J165" s="7"/>
      <c r="K165" s="6">
        <v>26678</v>
      </c>
      <c r="L165" t="s">
        <v>814</v>
      </c>
      <c r="N165" s="3" t="s">
        <v>815</v>
      </c>
      <c r="Q165" t="s">
        <v>361</v>
      </c>
      <c r="R165" t="s">
        <v>816</v>
      </c>
      <c r="S165" s="8">
        <v>1430147</v>
      </c>
      <c r="T165" s="10" t="str">
        <f t="shared" si="5"/>
        <v>01430147.pdf</v>
      </c>
      <c r="U165" s="9" t="str">
        <f>HYPERLINK(CONCATENATE("https://bte.dgcp.mtsss.gov.pt/documentos/",A165,"/",F165,"/",T165))</f>
        <v>https://bte.dgcp.mtsss.gov.pt/documentos/2026/16/01430147.pdf</v>
      </c>
    </row>
    <row r="166" spans="1:21">
      <c r="A166" s="11" t="str">
        <f t="shared" si="4"/>
        <v>2026</v>
      </c>
      <c r="B166" s="1" t="s">
        <v>817</v>
      </c>
      <c r="C166" s="2" t="s">
        <v>818</v>
      </c>
      <c r="D166" s="3" t="s">
        <v>591</v>
      </c>
      <c r="E166" s="3">
        <v>93</v>
      </c>
      <c r="F166" s="4" t="s">
        <v>796</v>
      </c>
      <c r="G166" s="5">
        <v>46141</v>
      </c>
      <c r="H166" s="5">
        <v>46141</v>
      </c>
      <c r="I166" s="6"/>
      <c r="J166" s="7"/>
      <c r="K166" s="6">
        <v>17163</v>
      </c>
      <c r="L166" t="s">
        <v>819</v>
      </c>
      <c r="N166" s="3" t="s">
        <v>820</v>
      </c>
      <c r="Q166" t="s">
        <v>821</v>
      </c>
      <c r="R166" t="s">
        <v>822</v>
      </c>
      <c r="S166" s="8">
        <v>1480150</v>
      </c>
      <c r="T166" s="10" t="str">
        <f t="shared" si="5"/>
        <v>01480150.pdf</v>
      </c>
      <c r="U166" s="9" t="str">
        <f>HYPERLINK(CONCATENATE("https://bte.dgcp.mtsss.gov.pt/documentos/",A166,"/",F166,"/",T166))</f>
        <v>https://bte.dgcp.mtsss.gov.pt/documentos/2026/16/01480150.pdf</v>
      </c>
    </row>
    <row r="167" spans="1:21">
      <c r="A167" s="11" t="str">
        <f t="shared" si="4"/>
        <v>2026</v>
      </c>
      <c r="B167" s="1" t="s">
        <v>823</v>
      </c>
      <c r="C167" s="2" t="s">
        <v>824</v>
      </c>
      <c r="D167" s="3" t="s">
        <v>105</v>
      </c>
      <c r="E167" s="3">
        <v>93</v>
      </c>
      <c r="F167" s="4" t="s">
        <v>796</v>
      </c>
      <c r="G167" s="5">
        <v>46141</v>
      </c>
      <c r="H167" s="5">
        <v>46141</v>
      </c>
      <c r="I167" s="6"/>
      <c r="J167" s="7"/>
      <c r="K167" s="6">
        <v>47149</v>
      </c>
      <c r="L167" t="s">
        <v>825</v>
      </c>
      <c r="N167" s="3" t="s">
        <v>826</v>
      </c>
      <c r="Q167" t="s">
        <v>786</v>
      </c>
      <c r="R167" t="s">
        <v>827</v>
      </c>
      <c r="S167" s="8">
        <v>1510152</v>
      </c>
      <c r="T167" s="10" t="str">
        <f t="shared" si="5"/>
        <v>01510152.pdf</v>
      </c>
      <c r="U167" s="9" t="str">
        <f>HYPERLINK(CONCATENATE("https://bte.dgcp.mtsss.gov.pt/documentos/",A167,"/",F167,"/",T167))</f>
        <v>https://bte.dgcp.mtsss.gov.pt/documentos/2026/16/01510152.pdf</v>
      </c>
    </row>
    <row r="168" spans="1:21">
      <c r="A168" s="11" t="str">
        <f t="shared" si="4"/>
        <v>2026</v>
      </c>
      <c r="B168" s="1" t="s">
        <v>828</v>
      </c>
      <c r="C168" s="2" t="s">
        <v>829</v>
      </c>
      <c r="D168" s="3" t="s">
        <v>105</v>
      </c>
      <c r="E168" s="3">
        <v>93</v>
      </c>
      <c r="F168" s="4" t="s">
        <v>796</v>
      </c>
      <c r="G168" s="5">
        <v>46141</v>
      </c>
      <c r="H168" s="5">
        <v>46141</v>
      </c>
      <c r="I168" s="6"/>
      <c r="J168" s="7"/>
      <c r="K168" s="6">
        <v>47099</v>
      </c>
      <c r="L168" t="s">
        <v>830</v>
      </c>
      <c r="N168" s="3" t="s">
        <v>831</v>
      </c>
      <c r="Q168" t="s">
        <v>832</v>
      </c>
      <c r="R168" t="s">
        <v>833</v>
      </c>
      <c r="S168" s="8">
        <v>1530155</v>
      </c>
      <c r="T168" s="10" t="str">
        <f t="shared" si="5"/>
        <v>01530155.pdf</v>
      </c>
      <c r="U168" s="9" t="str">
        <f>HYPERLINK(CONCATENATE("https://bte.dgcp.mtsss.gov.pt/documentos/",A168,"/",F168,"/",T168))</f>
        <v>https://bte.dgcp.mtsss.gov.pt/documentos/2026/16/01530155.pdf</v>
      </c>
    </row>
    <row r="169" spans="1:21">
      <c r="A169" s="11" t="str">
        <f t="shared" si="4"/>
        <v>2026</v>
      </c>
      <c r="B169" s="1" t="s">
        <v>834</v>
      </c>
      <c r="C169" s="2" t="s">
        <v>835</v>
      </c>
      <c r="D169" s="3" t="s">
        <v>23</v>
      </c>
      <c r="E169" s="3">
        <v>93</v>
      </c>
      <c r="F169" s="4" t="s">
        <v>836</v>
      </c>
      <c r="G169" s="5">
        <v>46150</v>
      </c>
      <c r="H169" s="5">
        <v>46150</v>
      </c>
      <c r="I169" s="6"/>
      <c r="J169" s="7"/>
      <c r="K169" s="6">
        <v>26689</v>
      </c>
      <c r="L169" t="s">
        <v>837</v>
      </c>
      <c r="N169" s="3" t="s">
        <v>838</v>
      </c>
      <c r="Q169" t="s">
        <v>839</v>
      </c>
      <c r="S169" s="8">
        <v>110012</v>
      </c>
      <c r="T169" s="10" t="str">
        <f t="shared" si="5"/>
        <v>00110012.pdf</v>
      </c>
      <c r="U169" s="9" t="str">
        <f>HYPERLINK(CONCATENATE("https://bte.dgcp.mtsss.gov.pt/documentos/",A169,"/",F169,"/",T169))</f>
        <v>https://bte.dgcp.mtsss.gov.pt/documentos/2026/17/00110012.pdf</v>
      </c>
    </row>
    <row r="170" spans="1:21">
      <c r="A170" s="11" t="str">
        <f t="shared" si="4"/>
        <v>2026</v>
      </c>
      <c r="B170" s="1" t="s">
        <v>840</v>
      </c>
      <c r="C170" s="2" t="s">
        <v>841</v>
      </c>
      <c r="D170" s="3" t="s">
        <v>23</v>
      </c>
      <c r="E170" s="3">
        <v>93</v>
      </c>
      <c r="F170" s="4" t="s">
        <v>836</v>
      </c>
      <c r="G170" s="5">
        <v>46150</v>
      </c>
      <c r="H170" s="5">
        <v>46150</v>
      </c>
      <c r="I170" s="6"/>
      <c r="J170" s="7"/>
      <c r="K170" s="6">
        <v>26059</v>
      </c>
      <c r="L170" t="s">
        <v>842</v>
      </c>
      <c r="N170" s="3" t="s">
        <v>843</v>
      </c>
      <c r="Q170" t="s">
        <v>844</v>
      </c>
      <c r="S170" s="8">
        <v>130014</v>
      </c>
      <c r="T170" s="10" t="str">
        <f t="shared" si="5"/>
        <v>00130014.pdf</v>
      </c>
      <c r="U170" s="9" t="str">
        <f>HYPERLINK(CONCATENATE("https://bte.dgcp.mtsss.gov.pt/documentos/",A170,"/",F170,"/",T170))</f>
        <v>https://bte.dgcp.mtsss.gov.pt/documentos/2026/17/00130014.pdf</v>
      </c>
    </row>
    <row r="171" spans="1:21">
      <c r="A171" s="11" t="str">
        <f t="shared" si="4"/>
        <v>2026</v>
      </c>
      <c r="B171" s="1" t="s">
        <v>845</v>
      </c>
      <c r="C171" s="2" t="s">
        <v>846</v>
      </c>
      <c r="D171" s="3" t="s">
        <v>23</v>
      </c>
      <c r="E171" s="3">
        <v>93</v>
      </c>
      <c r="F171" s="4" t="s">
        <v>836</v>
      </c>
      <c r="G171" s="5">
        <v>46150</v>
      </c>
      <c r="H171" s="5">
        <v>46150</v>
      </c>
      <c r="I171" s="6"/>
      <c r="J171" s="7"/>
      <c r="K171" s="6">
        <v>27204</v>
      </c>
      <c r="L171" t="s">
        <v>847</v>
      </c>
      <c r="N171" s="3" t="s">
        <v>848</v>
      </c>
      <c r="Q171" t="s">
        <v>290</v>
      </c>
      <c r="S171" s="8">
        <v>150016</v>
      </c>
      <c r="T171" s="10" t="str">
        <f t="shared" si="5"/>
        <v>00150016.pdf</v>
      </c>
      <c r="U171" s="9" t="str">
        <f>HYPERLINK(CONCATENATE("https://bte.dgcp.mtsss.gov.pt/documentos/",A171,"/",F171,"/",T171))</f>
        <v>https://bte.dgcp.mtsss.gov.pt/documentos/2026/17/00150016.pdf</v>
      </c>
    </row>
    <row r="172" spans="1:21">
      <c r="A172" s="11" t="str">
        <f t="shared" si="4"/>
        <v>2026</v>
      </c>
      <c r="B172" s="1" t="s">
        <v>849</v>
      </c>
      <c r="C172" s="2" t="s">
        <v>850</v>
      </c>
      <c r="D172" s="3" t="s">
        <v>23</v>
      </c>
      <c r="E172" s="3">
        <v>93</v>
      </c>
      <c r="F172" s="4" t="s">
        <v>836</v>
      </c>
      <c r="G172" s="5">
        <v>46150</v>
      </c>
      <c r="H172" s="5">
        <v>46150</v>
      </c>
      <c r="I172" s="6"/>
      <c r="J172" s="7"/>
      <c r="K172" s="6">
        <v>27199</v>
      </c>
      <c r="L172" t="s">
        <v>851</v>
      </c>
      <c r="N172" s="3" t="s">
        <v>852</v>
      </c>
      <c r="Q172" t="s">
        <v>853</v>
      </c>
      <c r="S172" s="8">
        <v>170018</v>
      </c>
      <c r="T172" s="10" t="str">
        <f t="shared" si="5"/>
        <v>00170018.pdf</v>
      </c>
      <c r="U172" s="9" t="str">
        <f>HYPERLINK(CONCATENATE("https://bte.dgcp.mtsss.gov.pt/documentos/",A172,"/",F172,"/",T172))</f>
        <v>https://bte.dgcp.mtsss.gov.pt/documentos/2026/17/00170018.pdf</v>
      </c>
    </row>
    <row r="173" spans="1:21">
      <c r="A173" s="11" t="str">
        <f t="shared" si="4"/>
        <v>2026</v>
      </c>
      <c r="B173" s="1" t="s">
        <v>854</v>
      </c>
      <c r="C173" s="2" t="s">
        <v>255</v>
      </c>
      <c r="D173" s="3" t="s">
        <v>23</v>
      </c>
      <c r="E173" s="3">
        <v>93</v>
      </c>
      <c r="F173" s="4" t="s">
        <v>836</v>
      </c>
      <c r="G173" s="5">
        <v>46150</v>
      </c>
      <c r="H173" s="5">
        <v>46150</v>
      </c>
      <c r="I173" s="6"/>
      <c r="J173" s="7"/>
      <c r="K173" s="6">
        <v>27101</v>
      </c>
      <c r="L173" t="s">
        <v>855</v>
      </c>
      <c r="N173" s="3" t="s">
        <v>856</v>
      </c>
      <c r="Q173" t="s">
        <v>258</v>
      </c>
      <c r="S173" s="8">
        <v>190020</v>
      </c>
      <c r="T173" s="10" t="str">
        <f t="shared" si="5"/>
        <v>00190020.pdf</v>
      </c>
      <c r="U173" s="9" t="str">
        <f>HYPERLINK(CONCATENATE("https://bte.dgcp.mtsss.gov.pt/documentos/",A173,"/",F173,"/",T173))</f>
        <v>https://bte.dgcp.mtsss.gov.pt/documentos/2026/17/00190020.pdf</v>
      </c>
    </row>
    <row r="174" spans="1:21">
      <c r="A174" s="11" t="str">
        <f t="shared" si="4"/>
        <v>2026</v>
      </c>
      <c r="B174" s="1" t="s">
        <v>857</v>
      </c>
      <c r="C174" s="2" t="s">
        <v>858</v>
      </c>
      <c r="D174" s="3" t="s">
        <v>23</v>
      </c>
      <c r="E174" s="3">
        <v>93</v>
      </c>
      <c r="F174" s="4" t="s">
        <v>836</v>
      </c>
      <c r="G174" s="5">
        <v>46150</v>
      </c>
      <c r="H174" s="5">
        <v>46150</v>
      </c>
      <c r="I174" s="6"/>
      <c r="J174" s="7"/>
      <c r="K174" s="6">
        <v>26968</v>
      </c>
      <c r="L174" t="s">
        <v>859</v>
      </c>
      <c r="N174" s="3" t="s">
        <v>860</v>
      </c>
      <c r="Q174" t="s">
        <v>861</v>
      </c>
      <c r="S174" s="8">
        <v>210022</v>
      </c>
      <c r="T174" s="10" t="str">
        <f t="shared" si="5"/>
        <v>00210022.pdf</v>
      </c>
      <c r="U174" s="9" t="str">
        <f>HYPERLINK(CONCATENATE("https://bte.dgcp.mtsss.gov.pt/documentos/",A174,"/",F174,"/",T174))</f>
        <v>https://bte.dgcp.mtsss.gov.pt/documentos/2026/17/00210022.pdf</v>
      </c>
    </row>
    <row r="175" spans="1:21">
      <c r="A175" s="11" t="str">
        <f t="shared" si="4"/>
        <v>2026</v>
      </c>
      <c r="B175" s="1" t="s">
        <v>862</v>
      </c>
      <c r="C175" s="2" t="s">
        <v>863</v>
      </c>
      <c r="D175" s="3" t="s">
        <v>23</v>
      </c>
      <c r="E175" s="3">
        <v>93</v>
      </c>
      <c r="F175" s="4" t="s">
        <v>836</v>
      </c>
      <c r="G175" s="5">
        <v>46150</v>
      </c>
      <c r="H175" s="5">
        <v>46150</v>
      </c>
      <c r="I175" s="6"/>
      <c r="J175" s="7"/>
      <c r="K175" s="6">
        <v>26984</v>
      </c>
      <c r="L175" t="s">
        <v>864</v>
      </c>
      <c r="N175" s="3" t="s">
        <v>865</v>
      </c>
      <c r="Q175" t="s">
        <v>861</v>
      </c>
      <c r="S175" s="8">
        <v>230024</v>
      </c>
      <c r="T175" s="10" t="str">
        <f t="shared" si="5"/>
        <v>00230024.pdf</v>
      </c>
      <c r="U175" s="9" t="str">
        <f>HYPERLINK(CONCATENATE("https://bte.dgcp.mtsss.gov.pt/documentos/",A175,"/",F175,"/",T175))</f>
        <v>https://bte.dgcp.mtsss.gov.pt/documentos/2026/17/00230024.pdf</v>
      </c>
    </row>
    <row r="176" spans="1:21">
      <c r="A176" s="11" t="str">
        <f t="shared" si="4"/>
        <v>2026</v>
      </c>
      <c r="B176" s="1" t="s">
        <v>866</v>
      </c>
      <c r="C176" s="2" t="s">
        <v>867</v>
      </c>
      <c r="D176" s="3" t="s">
        <v>23</v>
      </c>
      <c r="E176" s="3">
        <v>93</v>
      </c>
      <c r="F176" s="4" t="s">
        <v>836</v>
      </c>
      <c r="G176" s="5">
        <v>46150</v>
      </c>
      <c r="H176" s="5">
        <v>46150</v>
      </c>
      <c r="I176" s="6"/>
      <c r="J176" s="7"/>
      <c r="K176" s="6">
        <v>47034</v>
      </c>
      <c r="L176" t="s">
        <v>868</v>
      </c>
      <c r="N176" s="3" t="s">
        <v>869</v>
      </c>
      <c r="Q176" t="s">
        <v>870</v>
      </c>
      <c r="S176" s="8">
        <v>250026</v>
      </c>
      <c r="T176" s="10" t="str">
        <f t="shared" si="5"/>
        <v>00250026.pdf</v>
      </c>
      <c r="U176" s="9" t="str">
        <f>HYPERLINK(CONCATENATE("https://bte.dgcp.mtsss.gov.pt/documentos/",A176,"/",F176,"/",T176))</f>
        <v>https://bte.dgcp.mtsss.gov.pt/documentos/2026/17/00250026.pdf</v>
      </c>
    </row>
    <row r="177" spans="1:21">
      <c r="A177" s="11" t="str">
        <f t="shared" si="4"/>
        <v>2026</v>
      </c>
      <c r="B177" s="1" t="s">
        <v>871</v>
      </c>
      <c r="C177" s="2" t="s">
        <v>872</v>
      </c>
      <c r="D177" s="3" t="s">
        <v>288</v>
      </c>
      <c r="E177" s="3">
        <v>93</v>
      </c>
      <c r="F177" s="4" t="s">
        <v>836</v>
      </c>
      <c r="G177" s="5">
        <v>46150</v>
      </c>
      <c r="H177" s="5">
        <v>46150</v>
      </c>
      <c r="I177" s="6"/>
      <c r="J177" s="7"/>
      <c r="K177" s="6">
        <v>27227</v>
      </c>
      <c r="N177" s="3" t="s">
        <v>65</v>
      </c>
      <c r="Q177" t="s">
        <v>66</v>
      </c>
      <c r="R177" t="s">
        <v>873</v>
      </c>
      <c r="S177" s="8">
        <v>270058</v>
      </c>
      <c r="T177" s="10" t="str">
        <f t="shared" si="5"/>
        <v>00270058.pdf</v>
      </c>
      <c r="U177" s="9" t="str">
        <f>HYPERLINK(CONCATENATE("https://bte.dgcp.mtsss.gov.pt/documentos/",A177,"/",F177,"/",T177))</f>
        <v>https://bte.dgcp.mtsss.gov.pt/documentos/2026/17/00270058.pdf</v>
      </c>
    </row>
    <row r="178" spans="1:21">
      <c r="A178" s="11" t="str">
        <f t="shared" si="4"/>
        <v>2026</v>
      </c>
      <c r="B178" s="1" t="s">
        <v>874</v>
      </c>
      <c r="C178" s="2" t="s">
        <v>875</v>
      </c>
      <c r="D178" s="3" t="s">
        <v>271</v>
      </c>
      <c r="E178" s="3">
        <v>93</v>
      </c>
      <c r="F178" s="4" t="s">
        <v>836</v>
      </c>
      <c r="G178" s="5">
        <v>46150</v>
      </c>
      <c r="H178" s="5">
        <v>46150</v>
      </c>
      <c r="I178" s="6"/>
      <c r="J178" s="7"/>
      <c r="K178" s="6">
        <v>26790</v>
      </c>
      <c r="L178" t="s">
        <v>876</v>
      </c>
      <c r="N178" s="3" t="s">
        <v>877</v>
      </c>
      <c r="Q178" t="s">
        <v>878</v>
      </c>
      <c r="R178" t="s">
        <v>879</v>
      </c>
      <c r="S178" s="8">
        <v>590062</v>
      </c>
      <c r="T178" s="10" t="str">
        <f t="shared" si="5"/>
        <v>00590062.pdf</v>
      </c>
      <c r="U178" s="9" t="str">
        <f>HYPERLINK(CONCATENATE("https://bte.dgcp.mtsss.gov.pt/documentos/",A178,"/",F178,"/",T178))</f>
        <v>https://bte.dgcp.mtsss.gov.pt/documentos/2026/17/00590062.pdf</v>
      </c>
    </row>
    <row r="179" spans="1:21">
      <c r="A179" s="11" t="str">
        <f t="shared" si="4"/>
        <v>2026</v>
      </c>
      <c r="B179" s="1" t="s">
        <v>880</v>
      </c>
      <c r="C179" s="2" t="s">
        <v>881</v>
      </c>
      <c r="D179" s="3" t="s">
        <v>591</v>
      </c>
      <c r="E179" s="3">
        <v>93</v>
      </c>
      <c r="F179" s="4" t="s">
        <v>836</v>
      </c>
      <c r="G179" s="5">
        <v>46150</v>
      </c>
      <c r="H179" s="5">
        <v>46150</v>
      </c>
      <c r="I179" s="6"/>
      <c r="J179" s="7"/>
      <c r="K179" s="6">
        <v>15803</v>
      </c>
      <c r="L179" t="s">
        <v>882</v>
      </c>
      <c r="N179" s="3" t="s">
        <v>883</v>
      </c>
      <c r="Q179" t="s">
        <v>884</v>
      </c>
      <c r="R179" t="s">
        <v>885</v>
      </c>
      <c r="S179" s="8">
        <v>630067</v>
      </c>
      <c r="T179" s="10" t="str">
        <f t="shared" si="5"/>
        <v>00630067.pdf</v>
      </c>
      <c r="U179" s="9" t="str">
        <f>HYPERLINK(CONCATENATE("https://bte.dgcp.mtsss.gov.pt/documentos/",A179,"/",F179,"/",T179))</f>
        <v>https://bte.dgcp.mtsss.gov.pt/documentos/2026/17/00630067.pdf</v>
      </c>
    </row>
    <row r="180" spans="1:21">
      <c r="A180" s="11" t="str">
        <f t="shared" si="4"/>
        <v>2026</v>
      </c>
      <c r="B180" s="1" t="s">
        <v>886</v>
      </c>
      <c r="C180" s="2" t="s">
        <v>887</v>
      </c>
      <c r="D180" s="3" t="s">
        <v>591</v>
      </c>
      <c r="E180" s="3">
        <v>93</v>
      </c>
      <c r="F180" s="4" t="s">
        <v>836</v>
      </c>
      <c r="G180" s="5">
        <v>46150</v>
      </c>
      <c r="H180" s="5">
        <v>46150</v>
      </c>
      <c r="I180" s="6"/>
      <c r="J180" s="7"/>
      <c r="K180" s="6">
        <v>16613</v>
      </c>
      <c r="L180" t="s">
        <v>888</v>
      </c>
      <c r="N180" s="3" t="s">
        <v>889</v>
      </c>
      <c r="Q180" t="s">
        <v>890</v>
      </c>
      <c r="R180" t="s">
        <v>891</v>
      </c>
      <c r="S180" s="8">
        <v>680074</v>
      </c>
      <c r="T180" s="10" t="str">
        <f t="shared" si="5"/>
        <v>00680074.pdf</v>
      </c>
      <c r="U180" s="9" t="str">
        <f>HYPERLINK(CONCATENATE("https://bte.dgcp.mtsss.gov.pt/documentos/",A180,"/",F180,"/",T180))</f>
        <v>https://bte.dgcp.mtsss.gov.pt/documentos/2026/17/00680074.pdf</v>
      </c>
    </row>
    <row r="181" spans="1:21">
      <c r="A181" s="11" t="str">
        <f t="shared" si="4"/>
        <v>2026</v>
      </c>
      <c r="B181" s="1" t="s">
        <v>892</v>
      </c>
      <c r="C181" s="2" t="s">
        <v>893</v>
      </c>
      <c r="D181" s="3" t="s">
        <v>294</v>
      </c>
      <c r="E181" s="3">
        <v>93</v>
      </c>
      <c r="F181" s="4" t="s">
        <v>836</v>
      </c>
      <c r="G181" s="5">
        <v>46150</v>
      </c>
      <c r="H181" s="5">
        <v>46150</v>
      </c>
      <c r="I181" s="6"/>
      <c r="J181" s="7"/>
      <c r="K181" s="6">
        <v>47228</v>
      </c>
      <c r="N181" s="3" t="s">
        <v>894</v>
      </c>
      <c r="Q181" t="s">
        <v>895</v>
      </c>
      <c r="R181" t="s">
        <v>896</v>
      </c>
      <c r="S181" s="8">
        <v>750096</v>
      </c>
      <c r="T181" s="10" t="str">
        <f t="shared" si="5"/>
        <v>00750096.pdf</v>
      </c>
      <c r="U181" s="9" t="str">
        <f>HYPERLINK(CONCATENATE("https://bte.dgcp.mtsss.gov.pt/documentos/",A181,"/",F181,"/",T181))</f>
        <v>https://bte.dgcp.mtsss.gov.pt/documentos/2026/17/00750096.pdf</v>
      </c>
    </row>
    <row r="182" spans="1:21">
      <c r="A182" s="11" t="str">
        <f t="shared" si="4"/>
        <v>2026</v>
      </c>
      <c r="B182" s="1" t="s">
        <v>897</v>
      </c>
      <c r="C182" s="2" t="s">
        <v>898</v>
      </c>
      <c r="D182" s="3" t="s">
        <v>105</v>
      </c>
      <c r="E182" s="3">
        <v>93</v>
      </c>
      <c r="F182" s="4" t="s">
        <v>836</v>
      </c>
      <c r="G182" s="5">
        <v>46150</v>
      </c>
      <c r="H182" s="5">
        <v>46150</v>
      </c>
      <c r="I182" s="6"/>
      <c r="J182" s="7"/>
      <c r="K182" s="6">
        <v>46695</v>
      </c>
      <c r="L182" t="s">
        <v>899</v>
      </c>
      <c r="N182" s="3" t="s">
        <v>900</v>
      </c>
      <c r="Q182" t="s">
        <v>901</v>
      </c>
      <c r="R182" t="s">
        <v>902</v>
      </c>
      <c r="S182" s="8">
        <v>970100</v>
      </c>
      <c r="T182" s="10" t="str">
        <f t="shared" si="5"/>
        <v>00970100.pdf</v>
      </c>
      <c r="U182" s="9" t="str">
        <f>HYPERLINK(CONCATENATE("https://bte.dgcp.mtsss.gov.pt/documentos/",A182,"/",F182,"/",T182))</f>
        <v>https://bte.dgcp.mtsss.gov.pt/documentos/2026/17/00970100.pdf</v>
      </c>
    </row>
    <row r="183" spans="1:21">
      <c r="A183" s="11" t="str">
        <f t="shared" si="4"/>
        <v>2026</v>
      </c>
      <c r="B183" s="1" t="s">
        <v>903</v>
      </c>
      <c r="C183" s="2" t="s">
        <v>904</v>
      </c>
      <c r="D183" s="3" t="s">
        <v>105</v>
      </c>
      <c r="E183" s="3">
        <v>93</v>
      </c>
      <c r="F183" s="4" t="s">
        <v>836</v>
      </c>
      <c r="G183" s="5">
        <v>46150</v>
      </c>
      <c r="H183" s="5">
        <v>46150</v>
      </c>
      <c r="I183" s="6"/>
      <c r="J183" s="7"/>
      <c r="K183" s="6">
        <v>46496</v>
      </c>
      <c r="L183" t="s">
        <v>905</v>
      </c>
      <c r="N183" s="3" t="s">
        <v>906</v>
      </c>
      <c r="Q183" t="s">
        <v>907</v>
      </c>
      <c r="R183" t="s">
        <v>908</v>
      </c>
      <c r="S183" s="8">
        <v>1010103</v>
      </c>
      <c r="T183" s="10" t="str">
        <f t="shared" si="5"/>
        <v>01010103.pdf</v>
      </c>
      <c r="U183" s="9" t="str">
        <f>HYPERLINK(CONCATENATE("https://bte.dgcp.mtsss.gov.pt/documentos/",A183,"/",F183,"/",T183))</f>
        <v>https://bte.dgcp.mtsss.gov.pt/documentos/2026/17/01010103.pdf</v>
      </c>
    </row>
    <row r="184" spans="1:21">
      <c r="A184" s="11" t="str">
        <f t="shared" si="4"/>
        <v>2026</v>
      </c>
      <c r="B184" s="1" t="s">
        <v>909</v>
      </c>
      <c r="C184" s="2" t="s">
        <v>910</v>
      </c>
      <c r="D184" s="3" t="s">
        <v>105</v>
      </c>
      <c r="E184" s="3">
        <v>93</v>
      </c>
      <c r="F184" s="4" t="s">
        <v>836</v>
      </c>
      <c r="G184" s="5">
        <v>46150</v>
      </c>
      <c r="H184" s="5">
        <v>46150</v>
      </c>
      <c r="I184" s="6"/>
      <c r="J184" s="7"/>
      <c r="K184" s="6">
        <v>46568</v>
      </c>
      <c r="N184" s="3" t="s">
        <v>911</v>
      </c>
      <c r="Q184" t="s">
        <v>912</v>
      </c>
      <c r="R184" t="s">
        <v>913</v>
      </c>
      <c r="S184" s="8">
        <v>1040118</v>
      </c>
      <c r="T184" s="10" t="str">
        <f t="shared" si="5"/>
        <v>01040118.pdf</v>
      </c>
      <c r="U184" s="9" t="str">
        <f>HYPERLINK(CONCATENATE("https://bte.dgcp.mtsss.gov.pt/documentos/",A184,"/",F184,"/",T184))</f>
        <v>https://bte.dgcp.mtsss.gov.pt/documentos/2026/17/01040118.pdf</v>
      </c>
    </row>
    <row r="185" spans="1:21">
      <c r="A185" s="11" t="str">
        <f t="shared" si="4"/>
        <v>2026</v>
      </c>
      <c r="B185" s="1" t="s">
        <v>914</v>
      </c>
      <c r="C185" s="2" t="s">
        <v>915</v>
      </c>
      <c r="D185" s="3" t="s">
        <v>105</v>
      </c>
      <c r="E185" s="3">
        <v>93</v>
      </c>
      <c r="F185" s="4" t="s">
        <v>836</v>
      </c>
      <c r="G185" s="5">
        <v>46150</v>
      </c>
      <c r="H185" s="5">
        <v>46150</v>
      </c>
      <c r="I185" s="6"/>
      <c r="J185" s="7"/>
      <c r="K185" s="6">
        <v>47062</v>
      </c>
      <c r="N185" s="3" t="s">
        <v>916</v>
      </c>
      <c r="Q185" t="s">
        <v>917</v>
      </c>
      <c r="R185" t="s">
        <v>918</v>
      </c>
      <c r="S185" s="8">
        <v>1190156</v>
      </c>
      <c r="T185" s="10" t="str">
        <f t="shared" si="5"/>
        <v>01190156.pdf</v>
      </c>
      <c r="U185" s="9" t="str">
        <f>HYPERLINK(CONCATENATE("https://bte.dgcp.mtsss.gov.pt/documentos/",A185,"/",F185,"/",T185))</f>
        <v>https://bte.dgcp.mtsss.gov.pt/documentos/2026/17/01190156.pdf</v>
      </c>
    </row>
    <row r="186" spans="1:21">
      <c r="A186" s="11" t="str">
        <f t="shared" si="4"/>
        <v>2026</v>
      </c>
      <c r="B186" s="1" t="s">
        <v>919</v>
      </c>
      <c r="C186" s="2" t="s">
        <v>920</v>
      </c>
      <c r="D186" s="3" t="s">
        <v>184</v>
      </c>
      <c r="E186" s="3">
        <v>93</v>
      </c>
      <c r="F186" s="4" t="s">
        <v>836</v>
      </c>
      <c r="G186" s="5">
        <v>46150</v>
      </c>
      <c r="H186" s="5">
        <v>46150</v>
      </c>
      <c r="I186" s="6"/>
      <c r="J186" s="7"/>
      <c r="K186" s="6">
        <v>27182</v>
      </c>
      <c r="L186" t="s">
        <v>754</v>
      </c>
      <c r="N186" s="3" t="s">
        <v>755</v>
      </c>
      <c r="Q186" t="s">
        <v>921</v>
      </c>
      <c r="R186" t="s">
        <v>922</v>
      </c>
      <c r="S186" s="8">
        <v>1570157</v>
      </c>
      <c r="T186" s="10" t="str">
        <f t="shared" si="5"/>
        <v>01570157.pdf</v>
      </c>
      <c r="U186" s="9" t="str">
        <f>HYPERLINK(CONCATENATE("https://bte.dgcp.mtsss.gov.pt/documentos/",A186,"/",F186,"/",T186))</f>
        <v>https://bte.dgcp.mtsss.gov.pt/documentos/2026/17/01570157.pdf</v>
      </c>
    </row>
    <row r="187" spans="1:21">
      <c r="A187" s="11" t="str">
        <f t="shared" si="4"/>
        <v>2026</v>
      </c>
      <c r="B187" s="1" t="s">
        <v>923</v>
      </c>
      <c r="C187" s="2" t="s">
        <v>924</v>
      </c>
      <c r="D187" s="3" t="s">
        <v>99</v>
      </c>
      <c r="E187" s="3">
        <v>93</v>
      </c>
      <c r="F187" s="4" t="s">
        <v>925</v>
      </c>
      <c r="G187" s="5">
        <v>46157</v>
      </c>
      <c r="H187" s="5">
        <v>46157</v>
      </c>
      <c r="I187" s="6"/>
      <c r="J187" s="7"/>
      <c r="K187" s="6"/>
      <c r="N187" s="3"/>
      <c r="Q187" t="s">
        <v>193</v>
      </c>
      <c r="R187" t="s">
        <v>926</v>
      </c>
      <c r="S187" s="8">
        <v>50020</v>
      </c>
      <c r="T187" s="10" t="str">
        <f t="shared" si="5"/>
        <v>00050020.pdf</v>
      </c>
      <c r="U187" s="9" t="str">
        <f>HYPERLINK(CONCATENATE("https://bte.dgcp.mtsss.gov.pt/documentos/",A187,"/",F187,"/",T187))</f>
        <v>https://bte.dgcp.mtsss.gov.pt/documentos/2026/18/00050020.pdf</v>
      </c>
    </row>
    <row r="188" spans="1:21">
      <c r="A188" s="11" t="str">
        <f t="shared" si="4"/>
        <v>2026</v>
      </c>
      <c r="B188" s="1" t="s">
        <v>927</v>
      </c>
      <c r="C188" s="2" t="s">
        <v>928</v>
      </c>
      <c r="D188" s="3" t="s">
        <v>99</v>
      </c>
      <c r="E188" s="3">
        <v>93</v>
      </c>
      <c r="F188" s="4" t="s">
        <v>925</v>
      </c>
      <c r="G188" s="5">
        <v>46157</v>
      </c>
      <c r="H188" s="5">
        <v>46157</v>
      </c>
      <c r="I188" s="6"/>
      <c r="J188" s="7"/>
      <c r="K188" s="6"/>
      <c r="N188" s="3" t="s">
        <v>929</v>
      </c>
      <c r="Q188" t="s">
        <v>193</v>
      </c>
      <c r="R188" t="s">
        <v>930</v>
      </c>
      <c r="S188" s="8">
        <v>210036</v>
      </c>
      <c r="T188" s="10" t="str">
        <f t="shared" si="5"/>
        <v>00210036.pdf</v>
      </c>
      <c r="U188" s="9" t="str">
        <f>HYPERLINK(CONCATENATE("https://bte.dgcp.mtsss.gov.pt/documentos/",A188,"/",F188,"/",T188))</f>
        <v>https://bte.dgcp.mtsss.gov.pt/documentos/2026/18/00210036.pdf</v>
      </c>
    </row>
    <row r="189" spans="1:21">
      <c r="A189" s="11" t="str">
        <f t="shared" si="4"/>
        <v>2026</v>
      </c>
      <c r="B189" s="1" t="s">
        <v>931</v>
      </c>
      <c r="C189" s="2" t="s">
        <v>932</v>
      </c>
      <c r="D189" s="3" t="s">
        <v>99</v>
      </c>
      <c r="E189" s="3">
        <v>93</v>
      </c>
      <c r="F189" s="4" t="s">
        <v>925</v>
      </c>
      <c r="G189" s="5">
        <v>46157</v>
      </c>
      <c r="H189" s="5">
        <v>46157</v>
      </c>
      <c r="I189" s="6"/>
      <c r="J189" s="7"/>
      <c r="K189" s="6"/>
      <c r="N189" s="3"/>
      <c r="Q189" t="s">
        <v>193</v>
      </c>
      <c r="R189" t="s">
        <v>933</v>
      </c>
      <c r="S189" s="8">
        <v>370052</v>
      </c>
      <c r="T189" s="10" t="str">
        <f t="shared" si="5"/>
        <v>00370052.pdf</v>
      </c>
      <c r="U189" s="9" t="str">
        <f>HYPERLINK(CONCATENATE("https://bte.dgcp.mtsss.gov.pt/documentos/",A189,"/",F189,"/",T189))</f>
        <v>https://bte.dgcp.mtsss.gov.pt/documentos/2026/18/00370052.pdf</v>
      </c>
    </row>
    <row r="190" spans="1:21">
      <c r="A190" s="11" t="str">
        <f t="shared" si="4"/>
        <v>2026</v>
      </c>
      <c r="B190" s="1" t="s">
        <v>934</v>
      </c>
      <c r="C190" s="2" t="s">
        <v>935</v>
      </c>
      <c r="D190" s="3" t="s">
        <v>271</v>
      </c>
      <c r="E190" s="3">
        <v>93</v>
      </c>
      <c r="F190" s="4" t="s">
        <v>925</v>
      </c>
      <c r="G190" s="5">
        <v>46157</v>
      </c>
      <c r="H190" s="5">
        <v>46157</v>
      </c>
      <c r="I190" s="6"/>
      <c r="J190" s="7"/>
      <c r="K190" s="6">
        <v>27069</v>
      </c>
      <c r="L190" t="s">
        <v>936</v>
      </c>
      <c r="N190" s="3" t="s">
        <v>937</v>
      </c>
      <c r="Q190" t="s">
        <v>938</v>
      </c>
      <c r="R190" t="s">
        <v>939</v>
      </c>
      <c r="S190" s="8">
        <v>560058</v>
      </c>
      <c r="T190" s="10" t="str">
        <f t="shared" si="5"/>
        <v>00560058.pdf</v>
      </c>
      <c r="U190" s="9" t="str">
        <f>HYPERLINK(CONCATENATE("https://bte.dgcp.mtsss.gov.pt/documentos/",A190,"/",F190,"/",T190))</f>
        <v>https://bte.dgcp.mtsss.gov.pt/documentos/2026/18/00560058.pdf</v>
      </c>
    </row>
    <row r="191" spans="1:21">
      <c r="A191" s="11" t="str">
        <f t="shared" si="4"/>
        <v>2026</v>
      </c>
      <c r="B191" s="1" t="s">
        <v>940</v>
      </c>
      <c r="C191" s="2" t="s">
        <v>941</v>
      </c>
      <c r="D191" s="3" t="s">
        <v>271</v>
      </c>
      <c r="E191" s="3">
        <v>93</v>
      </c>
      <c r="F191" s="4" t="s">
        <v>925</v>
      </c>
      <c r="G191" s="5">
        <v>46157</v>
      </c>
      <c r="H191" s="5">
        <v>46157</v>
      </c>
      <c r="I191" s="6"/>
      <c r="J191" s="7"/>
      <c r="K191" s="6">
        <v>27063</v>
      </c>
      <c r="L191" t="s">
        <v>942</v>
      </c>
      <c r="N191" s="3" t="s">
        <v>943</v>
      </c>
      <c r="Q191" t="s">
        <v>944</v>
      </c>
      <c r="R191" t="s">
        <v>945</v>
      </c>
      <c r="S191" s="8">
        <v>590061</v>
      </c>
      <c r="T191" s="10" t="str">
        <f t="shared" si="5"/>
        <v>00590061.pdf</v>
      </c>
      <c r="U191" s="9" t="str">
        <f>HYPERLINK(CONCATENATE("https://bte.dgcp.mtsss.gov.pt/documentos/",A191,"/",F191,"/",T191))</f>
        <v>https://bte.dgcp.mtsss.gov.pt/documentos/2026/18/00590061.pdf</v>
      </c>
    </row>
    <row r="192" spans="1:21">
      <c r="A192" s="11" t="str">
        <f t="shared" si="4"/>
        <v>2026</v>
      </c>
      <c r="B192" s="1" t="s">
        <v>946</v>
      </c>
      <c r="C192" s="2" t="s">
        <v>947</v>
      </c>
      <c r="D192" s="3" t="s">
        <v>271</v>
      </c>
      <c r="E192" s="3">
        <v>93</v>
      </c>
      <c r="F192" s="4" t="s">
        <v>925</v>
      </c>
      <c r="G192" s="5">
        <v>46157</v>
      </c>
      <c r="H192" s="5">
        <v>46157</v>
      </c>
      <c r="I192" s="6"/>
      <c r="J192" s="7"/>
      <c r="K192" s="6">
        <v>26494</v>
      </c>
      <c r="N192" s="3" t="s">
        <v>130</v>
      </c>
      <c r="Q192" t="s">
        <v>131</v>
      </c>
      <c r="R192" t="s">
        <v>948</v>
      </c>
      <c r="S192" s="8">
        <v>620091</v>
      </c>
      <c r="T192" s="10" t="str">
        <f t="shared" si="5"/>
        <v>00620091.pdf</v>
      </c>
      <c r="U192" s="9" t="str">
        <f>HYPERLINK(CONCATENATE("https://bte.dgcp.mtsss.gov.pt/documentos/",A192,"/",F192,"/",T192))</f>
        <v>https://bte.dgcp.mtsss.gov.pt/documentos/2026/18/00620091.pdf</v>
      </c>
    </row>
    <row r="193" spans="1:21">
      <c r="A193" s="11" t="str">
        <f t="shared" si="4"/>
        <v>2026</v>
      </c>
      <c r="B193" s="1" t="s">
        <v>949</v>
      </c>
      <c r="C193" s="2" t="s">
        <v>950</v>
      </c>
      <c r="D193" s="3" t="s">
        <v>271</v>
      </c>
      <c r="E193" s="3">
        <v>93</v>
      </c>
      <c r="F193" s="4" t="s">
        <v>925</v>
      </c>
      <c r="G193" s="5">
        <v>46157</v>
      </c>
      <c r="H193" s="5">
        <v>46157</v>
      </c>
      <c r="I193" s="6"/>
      <c r="J193" s="7"/>
      <c r="K193" s="6">
        <v>26545</v>
      </c>
      <c r="N193" s="3" t="s">
        <v>243</v>
      </c>
      <c r="Q193" t="s">
        <v>156</v>
      </c>
      <c r="R193" t="s">
        <v>951</v>
      </c>
      <c r="S193" s="8">
        <v>920123</v>
      </c>
      <c r="T193" s="10" t="str">
        <f t="shared" si="5"/>
        <v>00920123.pdf</v>
      </c>
      <c r="U193" s="9" t="str">
        <f>HYPERLINK(CONCATENATE("https://bte.dgcp.mtsss.gov.pt/documentos/",A193,"/",F193,"/",T193))</f>
        <v>https://bte.dgcp.mtsss.gov.pt/documentos/2026/18/00920123.pdf</v>
      </c>
    </row>
    <row r="194" spans="1:21">
      <c r="A194" s="11" t="str">
        <f t="shared" ref="A194:A257" si="6">RIGHT(B194,4)</f>
        <v>2026</v>
      </c>
      <c r="B194" s="1" t="s">
        <v>952</v>
      </c>
      <c r="C194" s="2" t="s">
        <v>953</v>
      </c>
      <c r="D194" s="3" t="s">
        <v>271</v>
      </c>
      <c r="E194" s="3">
        <v>93</v>
      </c>
      <c r="F194" s="4" t="s">
        <v>925</v>
      </c>
      <c r="G194" s="5">
        <v>46157</v>
      </c>
      <c r="H194" s="5">
        <v>46157</v>
      </c>
      <c r="I194" s="6"/>
      <c r="J194" s="7"/>
      <c r="K194" s="6">
        <v>25813</v>
      </c>
      <c r="L194" t="s">
        <v>954</v>
      </c>
      <c r="N194" s="3" t="s">
        <v>955</v>
      </c>
      <c r="Q194" t="s">
        <v>956</v>
      </c>
      <c r="R194" t="s">
        <v>957</v>
      </c>
      <c r="S194" s="8">
        <v>1240129</v>
      </c>
      <c r="T194" s="10" t="str">
        <f t="shared" ref="T194:T257" si="7">TEXT(S194, "00000000") &amp; ".pdf"</f>
        <v>01240129.pdf</v>
      </c>
      <c r="U194" s="9" t="str">
        <f>HYPERLINK(CONCATENATE("https://bte.dgcp.mtsss.gov.pt/documentos/",A194,"/",F194,"/",T194))</f>
        <v>https://bte.dgcp.mtsss.gov.pt/documentos/2026/18/01240129.pdf</v>
      </c>
    </row>
    <row r="195" spans="1:21">
      <c r="A195" s="11" t="str">
        <f t="shared" si="6"/>
        <v>2026</v>
      </c>
      <c r="B195" s="1" t="s">
        <v>958</v>
      </c>
      <c r="C195" s="2" t="s">
        <v>959</v>
      </c>
      <c r="D195" s="3" t="s">
        <v>271</v>
      </c>
      <c r="E195" s="3">
        <v>93</v>
      </c>
      <c r="F195" s="4" t="s">
        <v>925</v>
      </c>
      <c r="G195" s="5">
        <v>46157</v>
      </c>
      <c r="H195" s="5">
        <v>46157</v>
      </c>
      <c r="I195" s="6"/>
      <c r="J195" s="7"/>
      <c r="K195" s="6">
        <v>25444</v>
      </c>
      <c r="L195" t="s">
        <v>960</v>
      </c>
      <c r="N195" s="3" t="s">
        <v>961</v>
      </c>
      <c r="Q195" t="s">
        <v>962</v>
      </c>
      <c r="R195" t="s">
        <v>957</v>
      </c>
      <c r="S195" s="8">
        <v>1300133</v>
      </c>
      <c r="T195" s="10" t="str">
        <f t="shared" si="7"/>
        <v>01300133.pdf</v>
      </c>
      <c r="U195" s="9" t="str">
        <f>HYPERLINK(CONCATENATE("https://bte.dgcp.mtsss.gov.pt/documentos/",A195,"/",F195,"/",T195))</f>
        <v>https://bte.dgcp.mtsss.gov.pt/documentos/2026/18/01300133.pdf</v>
      </c>
    </row>
    <row r="196" spans="1:21">
      <c r="A196" s="11" t="str">
        <f t="shared" si="6"/>
        <v>2026</v>
      </c>
      <c r="B196" s="1" t="s">
        <v>963</v>
      </c>
      <c r="C196" s="2" t="s">
        <v>964</v>
      </c>
      <c r="D196" s="3" t="s">
        <v>271</v>
      </c>
      <c r="E196" s="3">
        <v>93</v>
      </c>
      <c r="F196" s="4" t="s">
        <v>925</v>
      </c>
      <c r="G196" s="5">
        <v>46157</v>
      </c>
      <c r="H196" s="5">
        <v>46157</v>
      </c>
      <c r="I196" s="6"/>
      <c r="J196" s="7"/>
      <c r="K196" s="6">
        <v>27162</v>
      </c>
      <c r="L196" t="s">
        <v>965</v>
      </c>
      <c r="N196" s="3" t="s">
        <v>234</v>
      </c>
      <c r="Q196" t="s">
        <v>966</v>
      </c>
      <c r="R196" t="s">
        <v>967</v>
      </c>
      <c r="S196" s="8">
        <v>1340167</v>
      </c>
      <c r="T196" s="10" t="str">
        <f t="shared" si="7"/>
        <v>01340167.pdf</v>
      </c>
      <c r="U196" s="9" t="str">
        <f>HYPERLINK(CONCATENATE("https://bte.dgcp.mtsss.gov.pt/documentos/",A196,"/",F196,"/",T196))</f>
        <v>https://bte.dgcp.mtsss.gov.pt/documentos/2026/18/01340167.pdf</v>
      </c>
    </row>
    <row r="197" spans="1:21">
      <c r="A197" s="11" t="str">
        <f t="shared" si="6"/>
        <v>2026</v>
      </c>
      <c r="B197" s="1" t="s">
        <v>968</v>
      </c>
      <c r="C197" s="2" t="s">
        <v>969</v>
      </c>
      <c r="D197" s="3" t="s">
        <v>271</v>
      </c>
      <c r="E197" s="3">
        <v>93</v>
      </c>
      <c r="F197" s="4" t="s">
        <v>925</v>
      </c>
      <c r="G197" s="5">
        <v>46157</v>
      </c>
      <c r="H197" s="5">
        <v>46157</v>
      </c>
      <c r="I197" s="6"/>
      <c r="J197" s="7"/>
      <c r="K197" s="6">
        <v>26579</v>
      </c>
      <c r="N197" s="3" t="s">
        <v>164</v>
      </c>
      <c r="Q197" t="s">
        <v>165</v>
      </c>
      <c r="R197" t="s">
        <v>970</v>
      </c>
      <c r="S197" s="8">
        <v>1680215</v>
      </c>
      <c r="T197" s="10" t="str">
        <f t="shared" si="7"/>
        <v>01680215.pdf</v>
      </c>
      <c r="U197" s="9" t="str">
        <f>HYPERLINK(CONCATENATE("https://bte.dgcp.mtsss.gov.pt/documentos/",A197,"/",F197,"/",T197))</f>
        <v>https://bte.dgcp.mtsss.gov.pt/documentos/2026/18/01680215.pdf</v>
      </c>
    </row>
    <row r="198" spans="1:21">
      <c r="A198" s="11" t="str">
        <f t="shared" si="6"/>
        <v>2026</v>
      </c>
      <c r="B198" s="1" t="s">
        <v>971</v>
      </c>
      <c r="C198" s="2" t="s">
        <v>972</v>
      </c>
      <c r="D198" s="3" t="s">
        <v>294</v>
      </c>
      <c r="E198" s="3">
        <v>93</v>
      </c>
      <c r="F198" s="4" t="s">
        <v>925</v>
      </c>
      <c r="G198" s="5">
        <v>46157</v>
      </c>
      <c r="H198" s="5">
        <v>46157</v>
      </c>
      <c r="I198" s="6"/>
      <c r="J198" s="7"/>
      <c r="K198" s="6">
        <v>47229</v>
      </c>
      <c r="N198" s="3"/>
      <c r="Q198" t="s">
        <v>973</v>
      </c>
      <c r="R198" t="s">
        <v>974</v>
      </c>
      <c r="S198" s="8">
        <v>2160239</v>
      </c>
      <c r="T198" s="10" t="str">
        <f t="shared" si="7"/>
        <v>02160239.pdf</v>
      </c>
      <c r="U198" s="9" t="str">
        <f>HYPERLINK(CONCATENATE("https://bte.dgcp.mtsss.gov.pt/documentos/",A198,"/",F198,"/",T198))</f>
        <v>https://bte.dgcp.mtsss.gov.pt/documentos/2026/18/02160239.pdf</v>
      </c>
    </row>
    <row r="199" spans="1:21">
      <c r="A199" s="11" t="str">
        <f t="shared" si="6"/>
        <v>2026</v>
      </c>
      <c r="B199" s="1" t="s">
        <v>975</v>
      </c>
      <c r="C199" s="2" t="s">
        <v>976</v>
      </c>
      <c r="D199" s="3" t="s">
        <v>105</v>
      </c>
      <c r="E199" s="3">
        <v>93</v>
      </c>
      <c r="F199" s="4" t="s">
        <v>925</v>
      </c>
      <c r="G199" s="5">
        <v>46157</v>
      </c>
      <c r="H199" s="5">
        <v>46157</v>
      </c>
      <c r="I199" s="6"/>
      <c r="J199" s="7"/>
      <c r="K199" s="6">
        <v>46749</v>
      </c>
      <c r="L199" t="s">
        <v>977</v>
      </c>
      <c r="N199" s="3" t="s">
        <v>978</v>
      </c>
      <c r="Q199" t="s">
        <v>979</v>
      </c>
      <c r="R199" t="s">
        <v>980</v>
      </c>
      <c r="S199" s="8">
        <v>2400244</v>
      </c>
      <c r="T199" s="10" t="str">
        <f t="shared" si="7"/>
        <v>02400244.pdf</v>
      </c>
      <c r="U199" s="9" t="str">
        <f>HYPERLINK(CONCATENATE("https://bte.dgcp.mtsss.gov.pt/documentos/",A199,"/",F199,"/",T199))</f>
        <v>https://bte.dgcp.mtsss.gov.pt/documentos/2026/18/02400244.pdf</v>
      </c>
    </row>
    <row r="200" spans="1:21">
      <c r="A200" s="11" t="str">
        <f t="shared" si="6"/>
        <v>2026</v>
      </c>
      <c r="B200" s="1" t="s">
        <v>981</v>
      </c>
      <c r="C200" s="2" t="s">
        <v>982</v>
      </c>
      <c r="D200" s="3" t="s">
        <v>105</v>
      </c>
      <c r="E200" s="3">
        <v>93</v>
      </c>
      <c r="F200" s="4" t="s">
        <v>925</v>
      </c>
      <c r="G200" s="5">
        <v>46157</v>
      </c>
      <c r="H200" s="5">
        <v>46157</v>
      </c>
      <c r="I200" s="6"/>
      <c r="J200" s="7"/>
      <c r="K200" s="6">
        <v>46748</v>
      </c>
      <c r="L200" t="s">
        <v>983</v>
      </c>
      <c r="N200" s="3" t="s">
        <v>984</v>
      </c>
      <c r="Q200" t="s">
        <v>979</v>
      </c>
      <c r="R200" t="s">
        <v>985</v>
      </c>
      <c r="S200" s="8">
        <v>2450249</v>
      </c>
      <c r="T200" s="10" t="str">
        <f t="shared" si="7"/>
        <v>02450249.pdf</v>
      </c>
      <c r="U200" s="9" t="str">
        <f>HYPERLINK(CONCATENATE("https://bte.dgcp.mtsss.gov.pt/documentos/",A200,"/",F200,"/",T200))</f>
        <v>https://bte.dgcp.mtsss.gov.pt/documentos/2026/18/02450249.pdf</v>
      </c>
    </row>
    <row r="201" spans="1:21">
      <c r="A201" s="11" t="str">
        <f t="shared" si="6"/>
        <v>2026</v>
      </c>
      <c r="B201" s="1" t="s">
        <v>986</v>
      </c>
      <c r="C201" s="2" t="s">
        <v>987</v>
      </c>
      <c r="D201" s="3" t="s">
        <v>105</v>
      </c>
      <c r="E201" s="3">
        <v>93</v>
      </c>
      <c r="F201" s="4" t="s">
        <v>925</v>
      </c>
      <c r="G201" s="5">
        <v>46157</v>
      </c>
      <c r="H201" s="5">
        <v>46157</v>
      </c>
      <c r="I201" s="6"/>
      <c r="J201" s="7"/>
      <c r="K201" s="6">
        <v>47095</v>
      </c>
      <c r="L201" t="s">
        <v>988</v>
      </c>
      <c r="N201" s="3" t="s">
        <v>989</v>
      </c>
      <c r="Q201" t="s">
        <v>990</v>
      </c>
      <c r="R201" t="s">
        <v>991</v>
      </c>
      <c r="S201" s="8">
        <v>2500251</v>
      </c>
      <c r="T201" s="10" t="str">
        <f t="shared" si="7"/>
        <v>02500251.pdf</v>
      </c>
      <c r="U201" s="9" t="str">
        <f>HYPERLINK(CONCATENATE("https://bte.dgcp.mtsss.gov.pt/documentos/",A201,"/",F201,"/",T201))</f>
        <v>https://bte.dgcp.mtsss.gov.pt/documentos/2026/18/02500251.pdf</v>
      </c>
    </row>
    <row r="202" spans="1:21">
      <c r="A202" s="11" t="str">
        <f t="shared" si="6"/>
        <v>2026</v>
      </c>
      <c r="B202" s="1" t="s">
        <v>992</v>
      </c>
      <c r="C202" s="2" t="s">
        <v>993</v>
      </c>
      <c r="D202" s="3" t="s">
        <v>105</v>
      </c>
      <c r="E202" s="3">
        <v>93</v>
      </c>
      <c r="F202" s="4" t="s">
        <v>925</v>
      </c>
      <c r="G202" s="5">
        <v>46157</v>
      </c>
      <c r="H202" s="5">
        <v>46157</v>
      </c>
      <c r="I202" s="6"/>
      <c r="J202" s="7"/>
      <c r="K202" s="6">
        <v>47119</v>
      </c>
      <c r="N202" s="3" t="s">
        <v>994</v>
      </c>
      <c r="Q202" t="s">
        <v>995</v>
      </c>
      <c r="R202" t="s">
        <v>996</v>
      </c>
      <c r="S202" s="8">
        <v>2520272</v>
      </c>
      <c r="T202" s="10" t="str">
        <f t="shared" si="7"/>
        <v>02520272.pdf</v>
      </c>
      <c r="U202" s="9" t="str">
        <f>HYPERLINK(CONCATENATE("https://bte.dgcp.mtsss.gov.pt/documentos/",A202,"/",F202,"/",T202))</f>
        <v>https://bte.dgcp.mtsss.gov.pt/documentos/2026/18/02520272.pdf</v>
      </c>
    </row>
    <row r="203" spans="1:21">
      <c r="A203" s="11" t="str">
        <f t="shared" si="6"/>
        <v>2026</v>
      </c>
      <c r="B203" s="1" t="s">
        <v>997</v>
      </c>
      <c r="C203" s="2" t="s">
        <v>998</v>
      </c>
      <c r="D203" s="3" t="s">
        <v>105</v>
      </c>
      <c r="E203" s="3">
        <v>93</v>
      </c>
      <c r="F203" s="4" t="s">
        <v>925</v>
      </c>
      <c r="G203" s="5">
        <v>46157</v>
      </c>
      <c r="H203" s="5">
        <v>46157</v>
      </c>
      <c r="I203" s="6"/>
      <c r="J203" s="7"/>
      <c r="K203" s="6">
        <v>46988</v>
      </c>
      <c r="N203" s="3" t="s">
        <v>999</v>
      </c>
      <c r="Q203" t="s">
        <v>1000</v>
      </c>
      <c r="R203" t="s">
        <v>1001</v>
      </c>
      <c r="S203" s="8">
        <v>2730306</v>
      </c>
      <c r="T203" s="10" t="str">
        <f t="shared" si="7"/>
        <v>02730306.pdf</v>
      </c>
      <c r="U203" s="9" t="str">
        <f>HYPERLINK(CONCATENATE("https://bte.dgcp.mtsss.gov.pt/documentos/",A203,"/",F203,"/",T203))</f>
        <v>https://bte.dgcp.mtsss.gov.pt/documentos/2026/18/02730306.pdf</v>
      </c>
    </row>
    <row r="204" spans="1:21">
      <c r="A204" s="11" t="str">
        <f t="shared" si="6"/>
        <v>2026</v>
      </c>
      <c r="B204" s="1" t="s">
        <v>1002</v>
      </c>
      <c r="C204" s="2" t="s">
        <v>1003</v>
      </c>
      <c r="D204" s="3" t="s">
        <v>1004</v>
      </c>
      <c r="E204" s="3">
        <v>93</v>
      </c>
      <c r="F204" s="4" t="s">
        <v>925</v>
      </c>
      <c r="G204" s="5">
        <v>46157</v>
      </c>
      <c r="H204" s="5">
        <v>46157</v>
      </c>
      <c r="I204" s="6"/>
      <c r="J204" s="7"/>
      <c r="K204" s="6">
        <v>47048</v>
      </c>
      <c r="L204" t="s">
        <v>1005</v>
      </c>
      <c r="N204" s="3" t="s">
        <v>1006</v>
      </c>
      <c r="Q204" t="s">
        <v>1007</v>
      </c>
      <c r="S204" s="8">
        <v>3070307</v>
      </c>
      <c r="T204" s="10" t="str">
        <f t="shared" si="7"/>
        <v>03070307.pdf</v>
      </c>
      <c r="U204" s="9" t="str">
        <f>HYPERLINK(CONCATENATE("https://bte.dgcp.mtsss.gov.pt/documentos/",A204,"/",F204,"/",T204))</f>
        <v>https://bte.dgcp.mtsss.gov.pt/documentos/2026/18/03070307.pdf</v>
      </c>
    </row>
    <row r="205" spans="1:21">
      <c r="A205" s="11" t="str">
        <f t="shared" si="6"/>
        <v>2026</v>
      </c>
      <c r="B205" s="1" t="s">
        <v>1008</v>
      </c>
      <c r="C205" s="2" t="s">
        <v>1009</v>
      </c>
      <c r="D205" s="3" t="s">
        <v>23</v>
      </c>
      <c r="E205" s="3">
        <v>93</v>
      </c>
      <c r="F205" s="4" t="s">
        <v>1010</v>
      </c>
      <c r="G205" s="5">
        <v>46164</v>
      </c>
      <c r="H205" s="5">
        <v>46164</v>
      </c>
      <c r="I205" s="6"/>
      <c r="J205" s="7"/>
      <c r="K205" s="6">
        <v>26752</v>
      </c>
      <c r="L205" t="s">
        <v>1011</v>
      </c>
      <c r="N205" s="3" t="s">
        <v>579</v>
      </c>
      <c r="Q205" t="s">
        <v>580</v>
      </c>
      <c r="S205" s="8">
        <v>200021</v>
      </c>
      <c r="T205" s="10" t="str">
        <f t="shared" si="7"/>
        <v>00200021.pdf</v>
      </c>
      <c r="U205" s="9" t="str">
        <f>HYPERLINK(CONCATENATE("https://bte.dgcp.mtsss.gov.pt/documentos/",A205,"/",F205,"/",T205))</f>
        <v>https://bte.dgcp.mtsss.gov.pt/documentos/2026/19/00200021.pdf</v>
      </c>
    </row>
    <row r="206" spans="1:21">
      <c r="A206" s="11" t="str">
        <f t="shared" si="6"/>
        <v>2026</v>
      </c>
      <c r="B206" s="1" t="s">
        <v>1012</v>
      </c>
      <c r="C206" s="2" t="s">
        <v>1013</v>
      </c>
      <c r="D206" s="3" t="s">
        <v>23</v>
      </c>
      <c r="E206" s="3">
        <v>93</v>
      </c>
      <c r="F206" s="4" t="s">
        <v>1010</v>
      </c>
      <c r="G206" s="5">
        <v>46164</v>
      </c>
      <c r="H206" s="5">
        <v>46164</v>
      </c>
      <c r="I206" s="6"/>
      <c r="J206" s="7"/>
      <c r="K206" s="6">
        <v>27183</v>
      </c>
      <c r="L206" t="s">
        <v>1014</v>
      </c>
      <c r="N206" s="3" t="s">
        <v>1015</v>
      </c>
      <c r="Q206" t="s">
        <v>1016</v>
      </c>
      <c r="S206" s="8">
        <v>220023</v>
      </c>
      <c r="T206" s="10" t="str">
        <f t="shared" si="7"/>
        <v>00220023.pdf</v>
      </c>
      <c r="U206" s="9" t="str">
        <f>HYPERLINK(CONCATENATE("https://bte.dgcp.mtsss.gov.pt/documentos/",A206,"/",F206,"/",T206))</f>
        <v>https://bte.dgcp.mtsss.gov.pt/documentos/2026/19/00220023.pdf</v>
      </c>
    </row>
    <row r="207" spans="1:21">
      <c r="A207" s="11" t="str">
        <f t="shared" si="6"/>
        <v>2026</v>
      </c>
      <c r="B207" s="1" t="s">
        <v>1017</v>
      </c>
      <c r="C207" s="2" t="s">
        <v>1018</v>
      </c>
      <c r="D207" s="3" t="s">
        <v>23</v>
      </c>
      <c r="E207" s="3">
        <v>93</v>
      </c>
      <c r="F207" s="4" t="s">
        <v>1010</v>
      </c>
      <c r="G207" s="5">
        <v>46164</v>
      </c>
      <c r="H207" s="5">
        <v>46164</v>
      </c>
      <c r="I207" s="6"/>
      <c r="J207" s="7"/>
      <c r="K207" s="6">
        <v>27170</v>
      </c>
      <c r="L207" t="s">
        <v>1019</v>
      </c>
      <c r="N207" s="3" t="s">
        <v>1020</v>
      </c>
      <c r="Q207" t="s">
        <v>1021</v>
      </c>
      <c r="S207" s="8">
        <v>240025</v>
      </c>
      <c r="T207" s="10" t="str">
        <f t="shared" si="7"/>
        <v>00240025.pdf</v>
      </c>
      <c r="U207" s="9" t="str">
        <f>HYPERLINK(CONCATENATE("https://bte.dgcp.mtsss.gov.pt/documentos/",A207,"/",F207,"/",T207))</f>
        <v>https://bte.dgcp.mtsss.gov.pt/documentos/2026/19/00240025.pdf</v>
      </c>
    </row>
    <row r="208" spans="1:21">
      <c r="A208" s="11" t="str">
        <f t="shared" si="6"/>
        <v>2026</v>
      </c>
      <c r="B208" s="1" t="s">
        <v>1022</v>
      </c>
      <c r="C208" s="2" t="s">
        <v>1023</v>
      </c>
      <c r="D208" s="3" t="s">
        <v>271</v>
      </c>
      <c r="E208" s="3">
        <v>93</v>
      </c>
      <c r="F208" s="4" t="s">
        <v>1010</v>
      </c>
      <c r="G208" s="5">
        <v>46164</v>
      </c>
      <c r="H208" s="5">
        <v>46164</v>
      </c>
      <c r="I208" s="6"/>
      <c r="J208" s="7"/>
      <c r="K208" s="6">
        <v>27081</v>
      </c>
      <c r="L208" t="s">
        <v>1024</v>
      </c>
      <c r="N208" s="3" t="s">
        <v>1025</v>
      </c>
      <c r="Q208" t="s">
        <v>1026</v>
      </c>
      <c r="R208" t="s">
        <v>1027</v>
      </c>
      <c r="S208" s="8">
        <v>260028</v>
      </c>
      <c r="T208" s="10" t="str">
        <f t="shared" si="7"/>
        <v>00260028.pdf</v>
      </c>
      <c r="U208" s="9" t="str">
        <f>HYPERLINK(CONCATENATE("https://bte.dgcp.mtsss.gov.pt/documentos/",A208,"/",F208,"/",T208))</f>
        <v>https://bte.dgcp.mtsss.gov.pt/documentos/2026/19/00260028.pdf</v>
      </c>
    </row>
    <row r="209" spans="1:21">
      <c r="A209" s="11" t="str">
        <f t="shared" si="6"/>
        <v>2026</v>
      </c>
      <c r="B209" s="1" t="s">
        <v>1028</v>
      </c>
      <c r="C209" s="2" t="s">
        <v>1029</v>
      </c>
      <c r="D209" s="3" t="s">
        <v>99</v>
      </c>
      <c r="E209" s="3">
        <v>93</v>
      </c>
      <c r="F209" s="4" t="s">
        <v>1010</v>
      </c>
      <c r="G209" s="5">
        <v>46164</v>
      </c>
      <c r="H209" s="5">
        <v>46164</v>
      </c>
      <c r="I209" s="6"/>
      <c r="J209" s="7"/>
      <c r="K209" s="6">
        <v>17230</v>
      </c>
      <c r="N209" s="3"/>
      <c r="Q209" t="s">
        <v>1030</v>
      </c>
      <c r="R209" t="s">
        <v>1031</v>
      </c>
      <c r="S209" s="8">
        <v>290054</v>
      </c>
      <c r="T209" s="10" t="str">
        <f t="shared" si="7"/>
        <v>00290054.pdf</v>
      </c>
      <c r="U209" s="9" t="str">
        <f>HYPERLINK(CONCATENATE("https://bte.dgcp.mtsss.gov.pt/documentos/",A209,"/",F209,"/",T209))</f>
        <v>https://bte.dgcp.mtsss.gov.pt/documentos/2026/19/00290054.pdf</v>
      </c>
    </row>
    <row r="210" spans="1:21">
      <c r="A210" s="11" t="str">
        <f t="shared" si="6"/>
        <v>2026</v>
      </c>
      <c r="B210" s="1" t="s">
        <v>1032</v>
      </c>
      <c r="C210" s="2" t="s">
        <v>1033</v>
      </c>
      <c r="D210" s="3" t="s">
        <v>591</v>
      </c>
      <c r="E210" s="3">
        <v>93</v>
      </c>
      <c r="F210" s="4" t="s">
        <v>1010</v>
      </c>
      <c r="G210" s="5">
        <v>46164</v>
      </c>
      <c r="H210" s="5">
        <v>46164</v>
      </c>
      <c r="I210" s="6"/>
      <c r="J210" s="7"/>
      <c r="K210" s="6">
        <v>16708</v>
      </c>
      <c r="L210" t="s">
        <v>1034</v>
      </c>
      <c r="N210" s="3" t="s">
        <v>1035</v>
      </c>
      <c r="Q210" t="s">
        <v>1036</v>
      </c>
      <c r="R210" t="s">
        <v>1037</v>
      </c>
      <c r="S210" s="8">
        <v>550058</v>
      </c>
      <c r="T210" s="10" t="str">
        <f t="shared" si="7"/>
        <v>00550058.pdf</v>
      </c>
      <c r="U210" s="9" t="str">
        <f>HYPERLINK(CONCATENATE("https://bte.dgcp.mtsss.gov.pt/documentos/",A210,"/",F210,"/",T210))</f>
        <v>https://bte.dgcp.mtsss.gov.pt/documentos/2026/19/00550058.pdf</v>
      </c>
    </row>
    <row r="211" spans="1:21">
      <c r="A211" s="11" t="str">
        <f t="shared" si="6"/>
        <v>2026</v>
      </c>
      <c r="B211" s="1" t="s">
        <v>1038</v>
      </c>
      <c r="C211" s="2" t="s">
        <v>1039</v>
      </c>
      <c r="D211" s="3" t="s">
        <v>294</v>
      </c>
      <c r="E211" s="3">
        <v>93</v>
      </c>
      <c r="F211" s="4" t="s">
        <v>1010</v>
      </c>
      <c r="G211" s="5">
        <v>46164</v>
      </c>
      <c r="H211" s="5">
        <v>46164</v>
      </c>
      <c r="I211" s="6"/>
      <c r="J211" s="7"/>
      <c r="K211" s="6">
        <v>47231</v>
      </c>
      <c r="N211" s="3" t="s">
        <v>1040</v>
      </c>
      <c r="Q211" t="s">
        <v>305</v>
      </c>
      <c r="R211" t="s">
        <v>1041</v>
      </c>
      <c r="S211" s="8">
        <v>590136</v>
      </c>
      <c r="T211" s="10" t="str">
        <f t="shared" si="7"/>
        <v>00590136.pdf</v>
      </c>
      <c r="U211" s="9" t="str">
        <f>HYPERLINK(CONCATENATE("https://bte.dgcp.mtsss.gov.pt/documentos/",A211,"/",F211,"/",T211))</f>
        <v>https://bte.dgcp.mtsss.gov.pt/documentos/2026/19/00590136.pdf</v>
      </c>
    </row>
    <row r="212" spans="1:21">
      <c r="A212" s="11" t="str">
        <f t="shared" si="6"/>
        <v>2026</v>
      </c>
      <c r="B212" s="1" t="s">
        <v>1042</v>
      </c>
      <c r="C212" s="2" t="s">
        <v>1043</v>
      </c>
      <c r="D212" s="3" t="s">
        <v>99</v>
      </c>
      <c r="E212" s="3">
        <v>93</v>
      </c>
      <c r="F212" s="4" t="s">
        <v>1044</v>
      </c>
      <c r="G212" s="5">
        <v>46171</v>
      </c>
      <c r="H212" s="5">
        <v>46171</v>
      </c>
      <c r="I212" s="6"/>
      <c r="J212" s="7"/>
      <c r="K212" s="6"/>
      <c r="N212" s="3"/>
      <c r="Q212" t="s">
        <v>193</v>
      </c>
      <c r="R212" t="s">
        <v>1045</v>
      </c>
      <c r="S212" s="8">
        <v>50021</v>
      </c>
      <c r="T212" s="10" t="str">
        <f t="shared" si="7"/>
        <v>00050021.pdf</v>
      </c>
      <c r="U212" s="9" t="str">
        <f>HYPERLINK(CONCATENATE("https://bte.dgcp.mtsss.gov.pt/documentos/",A212,"/",F212,"/",T212))</f>
        <v>https://bte.dgcp.mtsss.gov.pt/documentos/2026/20/00050021.pdf</v>
      </c>
    </row>
    <row r="213" spans="1:21">
      <c r="A213" s="11" t="str">
        <f t="shared" si="6"/>
        <v>2026</v>
      </c>
      <c r="B213" s="1" t="s">
        <v>1046</v>
      </c>
      <c r="C213" s="2" t="s">
        <v>1047</v>
      </c>
      <c r="D213" s="3" t="s">
        <v>271</v>
      </c>
      <c r="E213" s="3">
        <v>93</v>
      </c>
      <c r="F213" s="4" t="s">
        <v>1044</v>
      </c>
      <c r="G213" s="5">
        <v>46171</v>
      </c>
      <c r="H213" s="5">
        <v>46171</v>
      </c>
      <c r="I213" s="6"/>
      <c r="J213" s="7"/>
      <c r="K213" s="6">
        <v>26107</v>
      </c>
      <c r="L213" t="s">
        <v>1048</v>
      </c>
      <c r="N213" s="3" t="s">
        <v>1049</v>
      </c>
      <c r="Q213" t="s">
        <v>1050</v>
      </c>
      <c r="R213" t="s">
        <v>1051</v>
      </c>
      <c r="S213" s="8">
        <v>240025</v>
      </c>
      <c r="T213" s="10" t="str">
        <f t="shared" si="7"/>
        <v>00240025.pdf</v>
      </c>
      <c r="U213" s="9" t="str">
        <f>HYPERLINK(CONCATENATE("https://bte.dgcp.mtsss.gov.pt/documentos/",A213,"/",F213,"/",T213))</f>
        <v>https://bte.dgcp.mtsss.gov.pt/documentos/2026/20/00240025.pdf</v>
      </c>
    </row>
    <row r="214" spans="1:21">
      <c r="A214" s="11" t="str">
        <f t="shared" si="6"/>
        <v>2026</v>
      </c>
      <c r="B214" s="1" t="s">
        <v>1052</v>
      </c>
      <c r="C214" s="2" t="s">
        <v>1053</v>
      </c>
      <c r="D214" s="3" t="s">
        <v>105</v>
      </c>
      <c r="E214" s="3">
        <v>93</v>
      </c>
      <c r="F214" s="4" t="s">
        <v>1044</v>
      </c>
      <c r="G214" s="5">
        <v>46171</v>
      </c>
      <c r="H214" s="5">
        <v>46171</v>
      </c>
      <c r="I214" s="6"/>
      <c r="J214" s="7"/>
      <c r="K214" s="6">
        <v>45914</v>
      </c>
      <c r="N214" s="3" t="s">
        <v>1054</v>
      </c>
      <c r="Q214" t="s">
        <v>1055</v>
      </c>
      <c r="R214" t="s">
        <v>1056</v>
      </c>
      <c r="S214" s="8">
        <v>260075</v>
      </c>
      <c r="T214" s="10" t="str">
        <f t="shared" si="7"/>
        <v>00260075.pdf</v>
      </c>
      <c r="U214" s="9" t="str">
        <f>HYPERLINK(CONCATENATE("https://bte.dgcp.mtsss.gov.pt/documentos/",A214,"/",F214,"/",T214))</f>
        <v>https://bte.dgcp.mtsss.gov.pt/documentos/2026/20/00260075.pdf</v>
      </c>
    </row>
    <row r="215" spans="1:21">
      <c r="A215" s="11" t="str">
        <f t="shared" si="6"/>
        <v>2026</v>
      </c>
      <c r="B215" s="1" t="s">
        <v>1057</v>
      </c>
      <c r="C215" s="2" t="s">
        <v>1058</v>
      </c>
      <c r="D215" s="3" t="s">
        <v>105</v>
      </c>
      <c r="E215" s="3">
        <v>93</v>
      </c>
      <c r="F215" s="4" t="s">
        <v>1044</v>
      </c>
      <c r="G215" s="5">
        <v>46171</v>
      </c>
      <c r="H215" s="5">
        <v>46171</v>
      </c>
      <c r="I215" s="6"/>
      <c r="J215" s="7"/>
      <c r="K215" s="6">
        <v>47057</v>
      </c>
      <c r="L215" t="s">
        <v>1059</v>
      </c>
      <c r="N215" s="3" t="s">
        <v>85</v>
      </c>
      <c r="Q215" t="s">
        <v>1060</v>
      </c>
      <c r="R215" t="s">
        <v>1061</v>
      </c>
      <c r="S215" s="8">
        <v>760079</v>
      </c>
      <c r="T215" s="10" t="str">
        <f t="shared" si="7"/>
        <v>00760079.pdf</v>
      </c>
      <c r="U215" s="9" t="str">
        <f>HYPERLINK(CONCATENATE("https://bte.dgcp.mtsss.gov.pt/documentos/",A215,"/",F215,"/",T215))</f>
        <v>https://bte.dgcp.mtsss.gov.pt/documentos/2026/20/00760079.pdf</v>
      </c>
    </row>
    <row r="216" spans="1:21">
      <c r="A216" s="11" t="str">
        <f t="shared" si="6"/>
        <v>2026</v>
      </c>
      <c r="B216" s="1" t="s">
        <v>1062</v>
      </c>
      <c r="C216" s="2" t="s">
        <v>1063</v>
      </c>
      <c r="D216" s="3" t="s">
        <v>105</v>
      </c>
      <c r="E216" s="3">
        <v>93</v>
      </c>
      <c r="F216" s="4" t="s">
        <v>1044</v>
      </c>
      <c r="G216" s="5">
        <v>46171</v>
      </c>
      <c r="H216" s="5">
        <v>46171</v>
      </c>
      <c r="I216" s="6"/>
      <c r="J216" s="7"/>
      <c r="K216" s="6">
        <v>46450</v>
      </c>
      <c r="N216" s="3" t="s">
        <v>1064</v>
      </c>
      <c r="Q216" t="s">
        <v>1065</v>
      </c>
      <c r="R216" t="s">
        <v>1066</v>
      </c>
      <c r="S216" s="8">
        <v>800124</v>
      </c>
      <c r="T216" s="10" t="str">
        <f t="shared" si="7"/>
        <v>00800124.pdf</v>
      </c>
      <c r="U216" s="9" t="str">
        <f>HYPERLINK(CONCATENATE("https://bte.dgcp.mtsss.gov.pt/documentos/",A216,"/",F216,"/",T216))</f>
        <v>https://bte.dgcp.mtsss.gov.pt/documentos/2026/20/00800124.pdf</v>
      </c>
    </row>
    <row r="217" spans="1:21">
      <c r="A217" s="11" t="str">
        <f t="shared" si="6"/>
        <v>2026</v>
      </c>
      <c r="B217" s="1" t="s">
        <v>1067</v>
      </c>
      <c r="C217" s="2" t="s">
        <v>1068</v>
      </c>
      <c r="D217" s="3" t="s">
        <v>184</v>
      </c>
      <c r="E217" s="3">
        <v>93</v>
      </c>
      <c r="F217" s="4" t="s">
        <v>1044</v>
      </c>
      <c r="G217" s="5">
        <v>46171</v>
      </c>
      <c r="H217" s="5">
        <v>46171</v>
      </c>
      <c r="I217" s="6"/>
      <c r="J217" s="7"/>
      <c r="K217" s="6">
        <v>26125</v>
      </c>
      <c r="L217" t="s">
        <v>1069</v>
      </c>
      <c r="N217" s="3" t="s">
        <v>1070</v>
      </c>
      <c r="Q217" t="s">
        <v>248</v>
      </c>
      <c r="R217" t="s">
        <v>1071</v>
      </c>
      <c r="S217" s="8">
        <v>1250125</v>
      </c>
      <c r="T217" s="10" t="str">
        <f t="shared" si="7"/>
        <v>01250125.pdf</v>
      </c>
      <c r="U217" s="9" t="str">
        <f>HYPERLINK(CONCATENATE("https://bte.dgcp.mtsss.gov.pt/documentos/",A217,"/",F217,"/",T217))</f>
        <v>https://bte.dgcp.mtsss.gov.pt/documentos/2026/20/01250125.pdf</v>
      </c>
    </row>
    <row r="218" spans="1:21">
      <c r="A218" s="11" t="str">
        <f t="shared" si="6"/>
        <v>2026</v>
      </c>
      <c r="B218" s="1" t="s">
        <v>1072</v>
      </c>
      <c r="C218" s="2" t="s">
        <v>1073</v>
      </c>
      <c r="D218" s="3" t="s">
        <v>99</v>
      </c>
      <c r="E218" s="3">
        <v>93</v>
      </c>
      <c r="F218" s="4" t="s">
        <v>1074</v>
      </c>
      <c r="G218" s="5">
        <v>46181</v>
      </c>
      <c r="H218" s="5">
        <v>46181</v>
      </c>
      <c r="I218" s="6"/>
      <c r="J218" s="7"/>
      <c r="K218" s="6"/>
      <c r="N218" s="3" t="s">
        <v>1075</v>
      </c>
      <c r="Q218" t="s">
        <v>193</v>
      </c>
      <c r="R218" s="3" t="s">
        <v>1076</v>
      </c>
      <c r="S218" s="8">
        <v>40019</v>
      </c>
      <c r="T218" s="10" t="str">
        <f t="shared" si="7"/>
        <v>00040019.pdf</v>
      </c>
      <c r="U218" s="9" t="str">
        <f>HYPERLINK(CONCATENATE("https://bte.dgcp.mtsss.gov.pt/documentos/",A218,"/",F218,"/",T218))</f>
        <v>https://bte.dgcp.mtsss.gov.pt/documentos/2026/21/00040019.pdf</v>
      </c>
    </row>
    <row r="219" spans="1:21">
      <c r="A219" s="11" t="str">
        <f t="shared" si="6"/>
        <v>2026</v>
      </c>
      <c r="B219" s="1" t="s">
        <v>1077</v>
      </c>
      <c r="C219" s="2" t="s">
        <v>1078</v>
      </c>
      <c r="D219" s="3" t="s">
        <v>288</v>
      </c>
      <c r="E219" s="3">
        <v>93</v>
      </c>
      <c r="F219" s="4" t="s">
        <v>1074</v>
      </c>
      <c r="G219" s="5">
        <v>46181</v>
      </c>
      <c r="H219" s="5">
        <v>46181</v>
      </c>
      <c r="I219" s="6"/>
      <c r="J219" s="7"/>
      <c r="K219" s="6">
        <v>27232</v>
      </c>
      <c r="N219" s="3" t="s">
        <v>267</v>
      </c>
      <c r="Q219" t="s">
        <v>268</v>
      </c>
      <c r="R219" t="s">
        <v>1079</v>
      </c>
      <c r="S219" s="8">
        <v>240050</v>
      </c>
      <c r="T219" s="10" t="str">
        <f t="shared" si="7"/>
        <v>00240050.pdf</v>
      </c>
      <c r="U219" s="9" t="str">
        <f>HYPERLINK(CONCATENATE("https://bte.dgcp.mtsss.gov.pt/documentos/",A219,"/",F219,"/",T219))</f>
        <v>https://bte.dgcp.mtsss.gov.pt/documentos/2026/21/00240050.pdf</v>
      </c>
    </row>
    <row r="220" spans="1:21">
      <c r="A220" s="11" t="str">
        <f t="shared" si="6"/>
        <v>2026</v>
      </c>
      <c r="B220" s="1" t="s">
        <v>1080</v>
      </c>
      <c r="C220" s="2" t="s">
        <v>1081</v>
      </c>
      <c r="D220" s="3" t="s">
        <v>271</v>
      </c>
      <c r="E220" s="3">
        <v>93</v>
      </c>
      <c r="F220" s="4" t="s">
        <v>1074</v>
      </c>
      <c r="G220" s="5">
        <v>46181</v>
      </c>
      <c r="H220" s="5">
        <v>46181</v>
      </c>
      <c r="I220" s="6"/>
      <c r="J220" s="7"/>
      <c r="K220" s="6">
        <v>26760</v>
      </c>
      <c r="L220" t="s">
        <v>1082</v>
      </c>
      <c r="N220" s="3" t="s">
        <v>656</v>
      </c>
      <c r="Q220" t="s">
        <v>1083</v>
      </c>
      <c r="R220" t="s">
        <v>1084</v>
      </c>
      <c r="S220" s="8">
        <v>510055</v>
      </c>
      <c r="T220" s="10" t="str">
        <f t="shared" si="7"/>
        <v>00510055.pdf</v>
      </c>
      <c r="U220" s="9" t="str">
        <f>HYPERLINK(CONCATENATE("https://bte.dgcp.mtsss.gov.pt/documentos/",A220,"/",F220,"/",T220))</f>
        <v>https://bte.dgcp.mtsss.gov.pt/documentos/2026/21/00510055.pdf</v>
      </c>
    </row>
    <row r="221" spans="1:21">
      <c r="A221" s="11" t="str">
        <f t="shared" si="6"/>
        <v>2026</v>
      </c>
      <c r="B221" s="1" t="s">
        <v>1085</v>
      </c>
      <c r="C221" s="2" t="s">
        <v>1086</v>
      </c>
      <c r="D221" s="3" t="s">
        <v>271</v>
      </c>
      <c r="E221" s="3">
        <v>93</v>
      </c>
      <c r="F221" s="4" t="s">
        <v>1074</v>
      </c>
      <c r="G221" s="5">
        <v>46181</v>
      </c>
      <c r="H221" s="5">
        <v>46181</v>
      </c>
      <c r="I221" s="6"/>
      <c r="J221" s="7"/>
      <c r="K221" s="6">
        <v>27167</v>
      </c>
      <c r="L221" t="s">
        <v>1087</v>
      </c>
      <c r="N221" s="3" t="s">
        <v>1088</v>
      </c>
      <c r="Q221" t="s">
        <v>1089</v>
      </c>
      <c r="R221" t="s">
        <v>1090</v>
      </c>
      <c r="S221" s="8">
        <v>560059</v>
      </c>
      <c r="T221" s="10" t="str">
        <f t="shared" si="7"/>
        <v>00560059.pdf</v>
      </c>
      <c r="U221" s="9" t="str">
        <f>HYPERLINK(CONCATENATE("https://bte.dgcp.mtsss.gov.pt/documentos/",A221,"/",F221,"/",T221))</f>
        <v>https://bte.dgcp.mtsss.gov.pt/documentos/2026/21/00560059.pdf</v>
      </c>
    </row>
    <row r="222" spans="1:21">
      <c r="A222" s="11" t="str">
        <f t="shared" si="6"/>
        <v>2026</v>
      </c>
      <c r="B222" s="1" t="s">
        <v>1091</v>
      </c>
      <c r="C222" s="2" t="s">
        <v>1092</v>
      </c>
      <c r="D222" s="3" t="s">
        <v>591</v>
      </c>
      <c r="E222" s="3">
        <v>93</v>
      </c>
      <c r="F222" s="4" t="s">
        <v>1074</v>
      </c>
      <c r="G222" s="5">
        <v>46181</v>
      </c>
      <c r="H222" s="5">
        <v>46181</v>
      </c>
      <c r="I222" s="6"/>
      <c r="J222" s="7"/>
      <c r="K222" s="6">
        <v>16708</v>
      </c>
      <c r="L222" t="s">
        <v>1093</v>
      </c>
      <c r="N222" s="3" t="s">
        <v>1094</v>
      </c>
      <c r="Q222" t="s">
        <v>1036</v>
      </c>
      <c r="R222" t="s">
        <v>1095</v>
      </c>
      <c r="S222" s="8">
        <v>600063</v>
      </c>
      <c r="T222" s="10" t="str">
        <f t="shared" si="7"/>
        <v>00600063.pdf</v>
      </c>
      <c r="U222" s="9" t="str">
        <f>HYPERLINK(CONCATENATE("https://bte.dgcp.mtsss.gov.pt/documentos/",A222,"/",F222,"/",T222))</f>
        <v>https://bte.dgcp.mtsss.gov.pt/documentos/2026/21/00600063.pdf</v>
      </c>
    </row>
    <row r="223" spans="1:21">
      <c r="A223" s="11" t="str">
        <f t="shared" si="6"/>
        <v>2026</v>
      </c>
      <c r="B223" s="1" t="s">
        <v>1096</v>
      </c>
      <c r="C223" s="2" t="s">
        <v>1097</v>
      </c>
      <c r="D223" s="3" t="s">
        <v>294</v>
      </c>
      <c r="E223" s="3">
        <v>93</v>
      </c>
      <c r="F223" s="4" t="s">
        <v>1074</v>
      </c>
      <c r="G223" s="5">
        <v>46181</v>
      </c>
      <c r="H223" s="5">
        <v>46181</v>
      </c>
      <c r="I223" s="6"/>
      <c r="J223" s="7"/>
      <c r="K223" s="6">
        <v>47233</v>
      </c>
      <c r="N223" s="3" t="s">
        <v>1098</v>
      </c>
      <c r="Q223" t="s">
        <v>1099</v>
      </c>
      <c r="R223" t="s">
        <v>1100</v>
      </c>
      <c r="S223" s="8">
        <v>640078</v>
      </c>
      <c r="T223" s="10" t="str">
        <f t="shared" si="7"/>
        <v>00640078.pdf</v>
      </c>
      <c r="U223" s="9" t="str">
        <f>HYPERLINK(CONCATENATE("https://bte.dgcp.mtsss.gov.pt/documentos/",A223,"/",F223,"/",T223))</f>
        <v>https://bte.dgcp.mtsss.gov.pt/documentos/2026/21/00640078.pdf</v>
      </c>
    </row>
    <row r="224" spans="1:21">
      <c r="A224" s="11" t="str">
        <f t="shared" si="6"/>
        <v>2026</v>
      </c>
      <c r="B224" s="1" t="s">
        <v>1101</v>
      </c>
      <c r="C224" s="2" t="s">
        <v>1102</v>
      </c>
      <c r="D224" s="3" t="s">
        <v>105</v>
      </c>
      <c r="E224" s="3">
        <v>93</v>
      </c>
      <c r="F224" s="4" t="s">
        <v>1074</v>
      </c>
      <c r="G224" s="5">
        <v>46181</v>
      </c>
      <c r="H224" s="5">
        <v>46181</v>
      </c>
      <c r="I224" s="6"/>
      <c r="J224" s="7"/>
      <c r="K224" s="6">
        <v>47145</v>
      </c>
      <c r="L224" t="s">
        <v>1103</v>
      </c>
      <c r="N224" s="3" t="s">
        <v>1104</v>
      </c>
      <c r="Q224" t="s">
        <v>1105</v>
      </c>
      <c r="R224" t="s">
        <v>1106</v>
      </c>
      <c r="S224" s="8">
        <v>790083</v>
      </c>
      <c r="T224" s="10" t="str">
        <f t="shared" si="7"/>
        <v>00790083.pdf</v>
      </c>
      <c r="U224" s="9" t="str">
        <f>HYPERLINK(CONCATENATE("https://bte.dgcp.mtsss.gov.pt/documentos/",A224,"/",F224,"/",T224))</f>
        <v>https://bte.dgcp.mtsss.gov.pt/documentos/2026/21/00790083.pdf</v>
      </c>
    </row>
    <row r="225" spans="1:21">
      <c r="A225" s="11" t="str">
        <f t="shared" si="6"/>
        <v>2026</v>
      </c>
      <c r="B225" s="1" t="s">
        <v>1107</v>
      </c>
      <c r="C225" s="2" t="s">
        <v>1108</v>
      </c>
      <c r="D225" s="3" t="s">
        <v>99</v>
      </c>
      <c r="E225" s="3">
        <v>93</v>
      </c>
      <c r="F225" s="4" t="s">
        <v>1109</v>
      </c>
      <c r="G225" s="5">
        <v>46188</v>
      </c>
      <c r="H225" s="5">
        <v>46188</v>
      </c>
      <c r="I225" s="6"/>
      <c r="J225" s="7"/>
      <c r="K225" s="6"/>
      <c r="N225" s="3" t="s">
        <v>1110</v>
      </c>
      <c r="Q225" t="s">
        <v>193</v>
      </c>
      <c r="R225" t="s">
        <v>1111</v>
      </c>
      <c r="S225" s="8">
        <v>40017</v>
      </c>
      <c r="T225" s="10" t="str">
        <f t="shared" si="7"/>
        <v>00040017.pdf</v>
      </c>
      <c r="U225" s="9" t="str">
        <f>HYPERLINK(CONCATENATE("https://bte.dgcp.mtsss.gov.pt/documentos/",A225,"/",F225,"/",T225))</f>
        <v>https://bte.dgcp.mtsss.gov.pt/documentos/2026/22/00040017.pdf</v>
      </c>
    </row>
    <row r="226" spans="1:21">
      <c r="A226" s="11" t="str">
        <f t="shared" si="6"/>
        <v>2026</v>
      </c>
      <c r="B226" s="1" t="s">
        <v>1112</v>
      </c>
      <c r="C226" s="2" t="s">
        <v>1113</v>
      </c>
      <c r="D226" s="3" t="s">
        <v>99</v>
      </c>
      <c r="E226" s="3">
        <v>93</v>
      </c>
      <c r="F226" s="4" t="s">
        <v>1109</v>
      </c>
      <c r="G226" s="5">
        <v>46188</v>
      </c>
      <c r="H226" s="5">
        <v>46188</v>
      </c>
      <c r="I226" s="6"/>
      <c r="J226" s="7"/>
      <c r="K226" s="6"/>
      <c r="N226" s="3"/>
      <c r="Q226" t="s">
        <v>193</v>
      </c>
      <c r="R226" t="s">
        <v>1114</v>
      </c>
      <c r="S226" s="8">
        <v>180030</v>
      </c>
      <c r="T226" s="10" t="str">
        <f t="shared" si="7"/>
        <v>00180030.pdf</v>
      </c>
      <c r="U226" s="9" t="str">
        <f>HYPERLINK(CONCATENATE("https://bte.dgcp.mtsss.gov.pt/documentos/",A226,"/",F226,"/",T226))</f>
        <v>https://bte.dgcp.mtsss.gov.pt/documentos/2026/22/00180030.pdf</v>
      </c>
    </row>
    <row r="227" spans="1:21">
      <c r="A227" s="11" t="str">
        <f t="shared" si="6"/>
        <v>2026</v>
      </c>
      <c r="B227" s="1" t="s">
        <v>1115</v>
      </c>
      <c r="C227" s="2" t="s">
        <v>1116</v>
      </c>
      <c r="D227" s="3" t="s">
        <v>99</v>
      </c>
      <c r="E227" s="3">
        <v>93</v>
      </c>
      <c r="F227" s="4" t="s">
        <v>1109</v>
      </c>
      <c r="G227" s="5">
        <v>46188</v>
      </c>
      <c r="H227" s="5">
        <v>46188</v>
      </c>
      <c r="I227" s="6"/>
      <c r="J227" s="7"/>
      <c r="K227" s="6"/>
      <c r="N227" s="3"/>
      <c r="Q227" t="s">
        <v>193</v>
      </c>
      <c r="R227" t="s">
        <v>1117</v>
      </c>
      <c r="S227" s="8">
        <v>310046</v>
      </c>
      <c r="T227" s="10" t="str">
        <f t="shared" si="7"/>
        <v>00310046.pdf</v>
      </c>
      <c r="U227" s="9" t="str">
        <f>HYPERLINK(CONCATENATE("https://bte.dgcp.mtsss.gov.pt/documentos/",A227,"/",F227,"/",T227))</f>
        <v>https://bte.dgcp.mtsss.gov.pt/documentos/2026/22/00310046.pdf</v>
      </c>
    </row>
    <row r="228" spans="1:21">
      <c r="A228" s="11" t="str">
        <f t="shared" si="6"/>
        <v>2026</v>
      </c>
      <c r="B228" s="1" t="s">
        <v>1118</v>
      </c>
      <c r="C228" s="2" t="s">
        <v>1119</v>
      </c>
      <c r="D228" s="3" t="s">
        <v>288</v>
      </c>
      <c r="E228" s="3">
        <v>93</v>
      </c>
      <c r="F228" s="4" t="s">
        <v>1109</v>
      </c>
      <c r="G228" s="5">
        <v>46188</v>
      </c>
      <c r="H228" s="5">
        <v>46188</v>
      </c>
      <c r="I228" s="6"/>
      <c r="J228" s="7"/>
      <c r="K228" s="6">
        <v>27234</v>
      </c>
      <c r="N228" s="3"/>
      <c r="Q228" t="s">
        <v>1120</v>
      </c>
      <c r="R228" t="s">
        <v>1121</v>
      </c>
      <c r="S228" s="8">
        <v>470066</v>
      </c>
      <c r="T228" s="10" t="str">
        <f t="shared" si="7"/>
        <v>00470066.pdf</v>
      </c>
      <c r="U228" s="9" t="str">
        <f>HYPERLINK(CONCATENATE("https://bte.dgcp.mtsss.gov.pt/documentos/",A228,"/",F228,"/",T228))</f>
        <v>https://bte.dgcp.mtsss.gov.pt/documentos/2026/22/00470066.pdf</v>
      </c>
    </row>
    <row r="229" spans="1:21">
      <c r="A229" s="11" t="str">
        <f t="shared" si="6"/>
        <v>2026</v>
      </c>
      <c r="B229" s="1" t="s">
        <v>1122</v>
      </c>
      <c r="C229" s="2" t="s">
        <v>1123</v>
      </c>
      <c r="D229" s="3" t="s">
        <v>288</v>
      </c>
      <c r="E229" s="3">
        <v>93</v>
      </c>
      <c r="F229" s="4" t="s">
        <v>1109</v>
      </c>
      <c r="G229" s="5">
        <v>46188</v>
      </c>
      <c r="H229" s="5">
        <v>46188</v>
      </c>
      <c r="I229" s="6"/>
      <c r="J229" s="7"/>
      <c r="K229" s="6">
        <v>27235</v>
      </c>
      <c r="N229" s="3"/>
      <c r="Q229" t="s">
        <v>1124</v>
      </c>
      <c r="R229" t="s">
        <v>816</v>
      </c>
      <c r="S229" s="8">
        <v>670087</v>
      </c>
      <c r="T229" s="10" t="str">
        <f t="shared" si="7"/>
        <v>00670087.pdf</v>
      </c>
      <c r="U229" s="9" t="str">
        <f>HYPERLINK(CONCATENATE("https://bte.dgcp.mtsss.gov.pt/documentos/",A229,"/",F229,"/",T229))</f>
        <v>https://bte.dgcp.mtsss.gov.pt/documentos/2026/22/00670087.pdf</v>
      </c>
    </row>
    <row r="230" spans="1:21">
      <c r="A230" s="11" t="str">
        <f t="shared" si="6"/>
        <v>2026</v>
      </c>
      <c r="B230" s="1" t="s">
        <v>1125</v>
      </c>
      <c r="C230" s="2" t="s">
        <v>1126</v>
      </c>
      <c r="D230" s="3" t="s">
        <v>271</v>
      </c>
      <c r="E230" s="3">
        <v>93</v>
      </c>
      <c r="F230" s="4" t="s">
        <v>1109</v>
      </c>
      <c r="G230" s="5">
        <v>46188</v>
      </c>
      <c r="H230" s="5">
        <v>46188</v>
      </c>
      <c r="I230" s="6"/>
      <c r="J230" s="7"/>
      <c r="K230" s="6">
        <v>26262</v>
      </c>
      <c r="L230" t="s">
        <v>216</v>
      </c>
      <c r="N230" s="3" t="s">
        <v>217</v>
      </c>
      <c r="Q230" t="s">
        <v>1127</v>
      </c>
      <c r="R230" t="s">
        <v>1128</v>
      </c>
      <c r="S230" s="8">
        <v>880093</v>
      </c>
      <c r="T230" s="10" t="str">
        <f t="shared" si="7"/>
        <v>00880093.pdf</v>
      </c>
      <c r="U230" s="9" t="str">
        <f>HYPERLINK(CONCATENATE("https://bte.dgcp.mtsss.gov.pt/documentos/",A230,"/",F230,"/",T230))</f>
        <v>https://bte.dgcp.mtsss.gov.pt/documentos/2026/22/00880093.pdf</v>
      </c>
    </row>
    <row r="231" spans="1:21">
      <c r="A231" s="11" t="str">
        <f t="shared" si="6"/>
        <v>2026</v>
      </c>
      <c r="B231" s="1" t="s">
        <v>1129</v>
      </c>
      <c r="C231" s="2" t="s">
        <v>1130</v>
      </c>
      <c r="D231" s="3" t="s">
        <v>271</v>
      </c>
      <c r="E231" s="3">
        <v>93</v>
      </c>
      <c r="F231" s="4" t="s">
        <v>1109</v>
      </c>
      <c r="G231" s="5">
        <v>46188</v>
      </c>
      <c r="H231" s="5">
        <v>46188</v>
      </c>
      <c r="I231" s="6"/>
      <c r="J231" s="7"/>
      <c r="K231" s="6">
        <v>26288</v>
      </c>
      <c r="L231" t="s">
        <v>1131</v>
      </c>
      <c r="N231" s="3" t="s">
        <v>1132</v>
      </c>
      <c r="Q231" t="s">
        <v>1133</v>
      </c>
      <c r="R231" t="s">
        <v>1134</v>
      </c>
      <c r="S231" s="8">
        <v>940095</v>
      </c>
      <c r="T231" s="10" t="str">
        <f t="shared" si="7"/>
        <v>00940095.pdf</v>
      </c>
      <c r="U231" s="9" t="str">
        <f>HYPERLINK(CONCATENATE("https://bte.dgcp.mtsss.gov.pt/documentos/",A231,"/",F231,"/",T231))</f>
        <v>https://bte.dgcp.mtsss.gov.pt/documentos/2026/22/00940095.pdf</v>
      </c>
    </row>
    <row r="232" spans="1:21">
      <c r="A232" s="11" t="str">
        <f t="shared" si="6"/>
        <v>2026</v>
      </c>
      <c r="B232" s="1" t="s">
        <v>1135</v>
      </c>
      <c r="C232" s="2" t="s">
        <v>1136</v>
      </c>
      <c r="D232" s="3" t="s">
        <v>271</v>
      </c>
      <c r="E232" s="3">
        <v>93</v>
      </c>
      <c r="F232" s="4" t="s">
        <v>1109</v>
      </c>
      <c r="G232" s="5">
        <v>46188</v>
      </c>
      <c r="H232" s="5">
        <v>46188</v>
      </c>
      <c r="I232" s="6"/>
      <c r="J232" s="7"/>
      <c r="K232" s="6">
        <v>25325</v>
      </c>
      <c r="L232" t="s">
        <v>1137</v>
      </c>
      <c r="N232" s="3" t="s">
        <v>1138</v>
      </c>
      <c r="Q232" t="s">
        <v>1139</v>
      </c>
      <c r="R232" t="s">
        <v>1140</v>
      </c>
      <c r="S232" s="8">
        <v>960101</v>
      </c>
      <c r="T232" s="10" t="str">
        <f t="shared" si="7"/>
        <v>00960101.pdf</v>
      </c>
      <c r="U232" s="9" t="str">
        <f>HYPERLINK(CONCATENATE("https://bte.dgcp.mtsss.gov.pt/documentos/",A232,"/",F232,"/",T232))</f>
        <v>https://bte.dgcp.mtsss.gov.pt/documentos/2026/22/00960101.pdf</v>
      </c>
    </row>
    <row r="233" spans="1:21">
      <c r="A233" s="11" t="str">
        <f t="shared" si="6"/>
        <v>2026</v>
      </c>
      <c r="B233" s="1" t="s">
        <v>1141</v>
      </c>
      <c r="C233" s="2" t="s">
        <v>1142</v>
      </c>
      <c r="D233" s="3" t="s">
        <v>294</v>
      </c>
      <c r="E233" s="3">
        <v>93</v>
      </c>
      <c r="F233" s="4" t="s">
        <v>1109</v>
      </c>
      <c r="G233" s="5">
        <v>46188</v>
      </c>
      <c r="H233" s="5">
        <v>46188</v>
      </c>
      <c r="I233" s="6"/>
      <c r="J233" s="7"/>
      <c r="K233" s="6">
        <v>47236</v>
      </c>
      <c r="N233" s="3"/>
      <c r="Q233" t="s">
        <v>1143</v>
      </c>
      <c r="R233" t="s">
        <v>1144</v>
      </c>
      <c r="S233" s="8">
        <v>1020112</v>
      </c>
      <c r="T233" s="10" t="str">
        <f t="shared" si="7"/>
        <v>01020112.pdf</v>
      </c>
      <c r="U233" s="9" t="str">
        <f>HYPERLINK(CONCATENATE("https://bte.dgcp.mtsss.gov.pt/documentos/",A233,"/",F233,"/",T233))</f>
        <v>https://bte.dgcp.mtsss.gov.pt/documentos/2026/22/01020112.pdf</v>
      </c>
    </row>
    <row r="234" spans="1:21">
      <c r="A234" s="11" t="str">
        <f t="shared" si="6"/>
        <v>2026</v>
      </c>
      <c r="B234" s="1" t="s">
        <v>1145</v>
      </c>
      <c r="C234" s="2" t="s">
        <v>1146</v>
      </c>
      <c r="D234" s="3" t="s">
        <v>105</v>
      </c>
      <c r="E234" s="3">
        <v>93</v>
      </c>
      <c r="F234" s="4" t="s">
        <v>1109</v>
      </c>
      <c r="G234" s="5">
        <v>46188</v>
      </c>
      <c r="H234" s="5">
        <v>46188</v>
      </c>
      <c r="I234" s="6"/>
      <c r="J234" s="7"/>
      <c r="K234" s="6">
        <v>46813</v>
      </c>
      <c r="L234" t="s">
        <v>1147</v>
      </c>
      <c r="N234" s="3" t="s">
        <v>1148</v>
      </c>
      <c r="Q234" t="s">
        <v>1149</v>
      </c>
      <c r="R234" t="s">
        <v>1150</v>
      </c>
      <c r="S234" s="8">
        <v>1130115</v>
      </c>
      <c r="T234" s="10" t="str">
        <f t="shared" si="7"/>
        <v>01130115.pdf</v>
      </c>
      <c r="U234" s="9" t="str">
        <f>HYPERLINK(CONCATENATE("https://bte.dgcp.mtsss.gov.pt/documentos/",A234,"/",F234,"/",T234))</f>
        <v>https://bte.dgcp.mtsss.gov.pt/documentos/2026/22/01130115.pdf</v>
      </c>
    </row>
    <row r="235" spans="1:21">
      <c r="A235" s="11" t="str">
        <f t="shared" si="6"/>
        <v>2026</v>
      </c>
      <c r="B235" s="1" t="s">
        <v>1151</v>
      </c>
      <c r="C235" s="2" t="s">
        <v>1152</v>
      </c>
      <c r="D235" s="3" t="s">
        <v>105</v>
      </c>
      <c r="E235" s="3">
        <v>93</v>
      </c>
      <c r="F235" s="4" t="s">
        <v>1109</v>
      </c>
      <c r="G235" s="5">
        <v>46188</v>
      </c>
      <c r="H235" s="5">
        <v>46188</v>
      </c>
      <c r="I235" s="6"/>
      <c r="J235" s="7"/>
      <c r="K235" s="6">
        <v>46510</v>
      </c>
      <c r="N235" s="3" t="s">
        <v>1153</v>
      </c>
      <c r="Q235" t="s">
        <v>696</v>
      </c>
      <c r="R235" t="s">
        <v>1154</v>
      </c>
      <c r="S235" s="8">
        <v>1160150</v>
      </c>
      <c r="T235" s="10" t="str">
        <f t="shared" si="7"/>
        <v>01160150.pdf</v>
      </c>
      <c r="U235" s="9" t="str">
        <f>HYPERLINK(CONCATENATE("https://bte.dgcp.mtsss.gov.pt/documentos/",A235,"/",F235,"/",T235))</f>
        <v>https://bte.dgcp.mtsss.gov.pt/documentos/2026/22/01160150.pdf</v>
      </c>
    </row>
    <row r="236" spans="1:21">
      <c r="A236" s="11" t="str">
        <f t="shared" si="6"/>
        <v>2026</v>
      </c>
      <c r="B236" s="1" t="s">
        <v>1155</v>
      </c>
      <c r="C236" s="2" t="s">
        <v>1156</v>
      </c>
      <c r="D236" s="3" t="s">
        <v>203</v>
      </c>
      <c r="E236" s="3">
        <v>93</v>
      </c>
      <c r="F236" s="4" t="s">
        <v>1109</v>
      </c>
      <c r="G236" s="5">
        <v>46188</v>
      </c>
      <c r="H236" s="5">
        <v>46188</v>
      </c>
      <c r="I236" s="6"/>
      <c r="J236" s="7"/>
      <c r="K236" s="6">
        <v>47019</v>
      </c>
      <c r="L236" t="s">
        <v>1157</v>
      </c>
      <c r="N236" s="3" t="s">
        <v>1158</v>
      </c>
      <c r="Q236" t="s">
        <v>1159</v>
      </c>
      <c r="R236" t="s">
        <v>1160</v>
      </c>
      <c r="S236" s="8">
        <v>1510152</v>
      </c>
      <c r="T236" s="10" t="str">
        <f t="shared" si="7"/>
        <v>01510152.pdf</v>
      </c>
      <c r="U236" s="9" t="str">
        <f>HYPERLINK(CONCATENATE("https://bte.dgcp.mtsss.gov.pt/documentos/",A236,"/",F236,"/",T236))</f>
        <v>https://bte.dgcp.mtsss.gov.pt/documentos/2026/22/01510152.pdf</v>
      </c>
    </row>
    <row r="237" spans="1:21">
      <c r="A237" s="11" t="str">
        <f t="shared" si="6"/>
        <v>2026</v>
      </c>
      <c r="B237" s="1" t="s">
        <v>1161</v>
      </c>
      <c r="C237" s="2" t="s">
        <v>1162</v>
      </c>
      <c r="D237" s="3" t="s">
        <v>99</v>
      </c>
      <c r="E237" s="3">
        <v>93</v>
      </c>
      <c r="F237" s="4" t="s">
        <v>1163</v>
      </c>
      <c r="G237" s="5">
        <v>46195</v>
      </c>
      <c r="H237" s="5">
        <v>46195</v>
      </c>
      <c r="I237" s="6"/>
      <c r="J237" s="7"/>
      <c r="K237" s="6"/>
      <c r="N237" s="3" t="s">
        <v>1164</v>
      </c>
      <c r="Q237" t="s">
        <v>193</v>
      </c>
      <c r="R237" t="s">
        <v>1165</v>
      </c>
      <c r="S237" s="8">
        <v>50020</v>
      </c>
      <c r="T237" s="10" t="str">
        <f t="shared" si="7"/>
        <v>00050020.pdf</v>
      </c>
      <c r="U237" s="9" t="str">
        <f>HYPERLINK(CONCATENATE("https://bte.dgcp.mtsss.gov.pt/documentos/",A237,"/",F237,"/",T237))</f>
        <v>https://bte.dgcp.mtsss.gov.pt/documentos/2026/23/00050020.pdf</v>
      </c>
    </row>
    <row r="238" spans="1:21">
      <c r="A238" s="11" t="str">
        <f t="shared" si="6"/>
        <v>2026</v>
      </c>
      <c r="B238" s="1" t="s">
        <v>1166</v>
      </c>
      <c r="C238" s="2" t="s">
        <v>1167</v>
      </c>
      <c r="D238" s="3" t="s">
        <v>99</v>
      </c>
      <c r="E238" s="3">
        <v>93</v>
      </c>
      <c r="F238" s="4" t="s">
        <v>1163</v>
      </c>
      <c r="G238" s="5">
        <v>46195</v>
      </c>
      <c r="H238" s="5">
        <v>46195</v>
      </c>
      <c r="I238" s="6"/>
      <c r="J238" s="7"/>
      <c r="K238" s="6"/>
      <c r="N238" s="3"/>
      <c r="Q238" t="s">
        <v>193</v>
      </c>
      <c r="R238" t="s">
        <v>1168</v>
      </c>
      <c r="S238" s="8">
        <v>210036</v>
      </c>
      <c r="T238" s="10" t="str">
        <f t="shared" si="7"/>
        <v>00210036.pdf</v>
      </c>
      <c r="U238" s="9" t="str">
        <f>HYPERLINK(CONCATENATE("https://bte.dgcp.mtsss.gov.pt/documentos/",A238,"/",F238,"/",T238))</f>
        <v>https://bte.dgcp.mtsss.gov.pt/documentos/2026/23/00210036.pdf</v>
      </c>
    </row>
    <row r="239" spans="1:21">
      <c r="A239" s="11" t="str">
        <f t="shared" si="6"/>
        <v>2026</v>
      </c>
      <c r="B239" s="1" t="s">
        <v>1169</v>
      </c>
      <c r="C239" s="2" t="s">
        <v>1170</v>
      </c>
      <c r="D239" s="3" t="s">
        <v>99</v>
      </c>
      <c r="E239" s="3">
        <v>93</v>
      </c>
      <c r="F239" s="4" t="s">
        <v>1163</v>
      </c>
      <c r="G239" s="5">
        <v>46195</v>
      </c>
      <c r="H239" s="5">
        <v>46195</v>
      </c>
      <c r="I239" s="6"/>
      <c r="J239" s="7"/>
      <c r="K239" s="6"/>
      <c r="N239" s="3" t="s">
        <v>1171</v>
      </c>
      <c r="Q239" t="s">
        <v>193</v>
      </c>
      <c r="R239" t="s">
        <v>1172</v>
      </c>
      <c r="S239" s="8">
        <v>370052</v>
      </c>
      <c r="T239" s="10" t="str">
        <f t="shared" si="7"/>
        <v>00370052.pdf</v>
      </c>
      <c r="U239" s="9" t="str">
        <f>HYPERLINK(CONCATENATE("https://bte.dgcp.mtsss.gov.pt/documentos/",A239,"/",F239,"/",T239))</f>
        <v>https://bte.dgcp.mtsss.gov.pt/documentos/2026/23/00370052.pdf</v>
      </c>
    </row>
    <row r="240" spans="1:21">
      <c r="A240" s="11" t="str">
        <f t="shared" si="6"/>
        <v>2026</v>
      </c>
      <c r="B240" s="1" t="s">
        <v>1173</v>
      </c>
      <c r="C240" s="2" t="s">
        <v>1174</v>
      </c>
      <c r="D240" s="3" t="s">
        <v>271</v>
      </c>
      <c r="E240" s="3">
        <v>93</v>
      </c>
      <c r="F240" s="4" t="s">
        <v>1163</v>
      </c>
      <c r="G240" s="5">
        <v>46195</v>
      </c>
      <c r="H240" s="5">
        <v>46195</v>
      </c>
      <c r="I240" s="6"/>
      <c r="J240" s="7"/>
      <c r="K240" s="6">
        <v>26975</v>
      </c>
      <c r="N240" s="3" t="s">
        <v>70</v>
      </c>
      <c r="Q240" t="s">
        <v>71</v>
      </c>
      <c r="R240" t="s">
        <v>1175</v>
      </c>
      <c r="S240" s="8">
        <v>530083</v>
      </c>
      <c r="T240" s="10" t="str">
        <f t="shared" si="7"/>
        <v>00530083.pdf</v>
      </c>
      <c r="U240" s="9" t="str">
        <f>HYPERLINK(CONCATENATE("https://bte.dgcp.mtsss.gov.pt/documentos/",A240,"/",F240,"/",T240))</f>
        <v>https://bte.dgcp.mtsss.gov.pt/documentos/2026/23/00530083.pdf</v>
      </c>
    </row>
    <row r="241" spans="1:21">
      <c r="A241" s="11" t="str">
        <f t="shared" si="6"/>
        <v>2026</v>
      </c>
      <c r="B241" s="1" t="s">
        <v>1176</v>
      </c>
      <c r="C241" s="2" t="s">
        <v>1177</v>
      </c>
      <c r="D241" s="3" t="s">
        <v>271</v>
      </c>
      <c r="E241" s="3">
        <v>93</v>
      </c>
      <c r="F241" s="4" t="s">
        <v>1163</v>
      </c>
      <c r="G241" s="5">
        <v>46195</v>
      </c>
      <c r="H241" s="5">
        <v>46195</v>
      </c>
      <c r="I241" s="6"/>
      <c r="J241" s="7"/>
      <c r="K241" s="6">
        <v>25989</v>
      </c>
      <c r="L241" t="s">
        <v>1178</v>
      </c>
      <c r="N241" s="3" t="s">
        <v>140</v>
      </c>
      <c r="Q241" t="s">
        <v>1179</v>
      </c>
      <c r="R241" t="s">
        <v>1180</v>
      </c>
      <c r="S241" s="8">
        <v>840086</v>
      </c>
      <c r="T241" s="10" t="str">
        <f t="shared" si="7"/>
        <v>00840086.pdf</v>
      </c>
      <c r="U241" s="9" t="str">
        <f>HYPERLINK(CONCATENATE("https://bte.dgcp.mtsss.gov.pt/documentos/",A241,"/",F241,"/",T241))</f>
        <v>https://bte.dgcp.mtsss.gov.pt/documentos/2026/23/00840086.pdf</v>
      </c>
    </row>
    <row r="242" spans="1:21">
      <c r="A242" s="11" t="str">
        <f t="shared" si="6"/>
        <v>2026</v>
      </c>
      <c r="B242" s="1" t="s">
        <v>1181</v>
      </c>
      <c r="C242" s="2" t="s">
        <v>1182</v>
      </c>
      <c r="D242" s="3" t="s">
        <v>271</v>
      </c>
      <c r="E242" s="3">
        <v>93</v>
      </c>
      <c r="F242" s="4" t="s">
        <v>1163</v>
      </c>
      <c r="G242" s="5">
        <v>46195</v>
      </c>
      <c r="H242" s="5">
        <v>46195</v>
      </c>
      <c r="I242" s="6"/>
      <c r="J242" s="7"/>
      <c r="K242" s="6">
        <v>27164</v>
      </c>
      <c r="L242" t="s">
        <v>1183</v>
      </c>
      <c r="N242" s="3" t="s">
        <v>150</v>
      </c>
      <c r="Q242" t="s">
        <v>1184</v>
      </c>
      <c r="R242" t="s">
        <v>1185</v>
      </c>
      <c r="S242" s="8">
        <v>870105</v>
      </c>
      <c r="T242" s="10" t="str">
        <f t="shared" si="7"/>
        <v>00870105.pdf</v>
      </c>
      <c r="U242" s="9" t="str">
        <f>HYPERLINK(CONCATENATE("https://bte.dgcp.mtsss.gov.pt/documentos/",A242,"/",F242,"/",T242))</f>
        <v>https://bte.dgcp.mtsss.gov.pt/documentos/2026/23/00870105.pdf</v>
      </c>
    </row>
    <row r="243" spans="1:21">
      <c r="A243" s="11" t="str">
        <f t="shared" si="6"/>
        <v>2026</v>
      </c>
      <c r="B243" s="1" t="s">
        <v>1186</v>
      </c>
      <c r="C243" s="2" t="s">
        <v>1187</v>
      </c>
      <c r="D243" s="3" t="s">
        <v>271</v>
      </c>
      <c r="E243" s="3">
        <v>93</v>
      </c>
      <c r="F243" s="4" t="s">
        <v>1163</v>
      </c>
      <c r="G243" s="5">
        <v>46195</v>
      </c>
      <c r="H243" s="5">
        <v>46195</v>
      </c>
      <c r="I243" s="6"/>
      <c r="J243" s="7"/>
      <c r="K243" s="6">
        <v>26860</v>
      </c>
      <c r="L243" t="s">
        <v>1188</v>
      </c>
      <c r="N243" s="3" t="s">
        <v>316</v>
      </c>
      <c r="Q243" t="s">
        <v>1189</v>
      </c>
      <c r="R243" t="s">
        <v>533</v>
      </c>
      <c r="S243" s="8">
        <v>1060109</v>
      </c>
      <c r="T243" s="10" t="str">
        <f t="shared" si="7"/>
        <v>01060109.pdf</v>
      </c>
      <c r="U243" s="9" t="str">
        <f>HYPERLINK(CONCATENATE("https://bte.dgcp.mtsss.gov.pt/documentos/",A243,"/",F243,"/",T243))</f>
        <v>https://bte.dgcp.mtsss.gov.pt/documentos/2026/23/01060109.pdf</v>
      </c>
    </row>
    <row r="244" spans="1:21">
      <c r="A244" s="11" t="str">
        <f t="shared" si="6"/>
        <v>2026</v>
      </c>
      <c r="B244" s="1" t="s">
        <v>1190</v>
      </c>
      <c r="C244" s="2" t="s">
        <v>1191</v>
      </c>
      <c r="D244" s="3" t="s">
        <v>271</v>
      </c>
      <c r="E244" s="3">
        <v>93</v>
      </c>
      <c r="F244" s="4" t="s">
        <v>1163</v>
      </c>
      <c r="G244" s="5">
        <v>46195</v>
      </c>
      <c r="H244" s="5">
        <v>46195</v>
      </c>
      <c r="I244" s="6"/>
      <c r="J244" s="7"/>
      <c r="K244" s="6">
        <v>26861</v>
      </c>
      <c r="L244" t="s">
        <v>1192</v>
      </c>
      <c r="N244" s="3" t="s">
        <v>427</v>
      </c>
      <c r="Q244" t="s">
        <v>1193</v>
      </c>
      <c r="R244" t="s">
        <v>1194</v>
      </c>
      <c r="S244" s="8">
        <v>1100113</v>
      </c>
      <c r="T244" s="10" t="str">
        <f t="shared" si="7"/>
        <v>01100113.pdf</v>
      </c>
      <c r="U244" s="9" t="str">
        <f>HYPERLINK(CONCATENATE("https://bte.dgcp.mtsss.gov.pt/documentos/",A244,"/",F244,"/",T244))</f>
        <v>https://bte.dgcp.mtsss.gov.pt/documentos/2026/23/01100113.pdf</v>
      </c>
    </row>
    <row r="245" spans="1:21">
      <c r="A245" s="11" t="str">
        <f t="shared" si="6"/>
        <v>2026</v>
      </c>
      <c r="B245" s="1" t="s">
        <v>1195</v>
      </c>
      <c r="C245" s="2" t="s">
        <v>1196</v>
      </c>
      <c r="D245" s="3" t="s">
        <v>271</v>
      </c>
      <c r="E245" s="3">
        <v>93</v>
      </c>
      <c r="F245" s="4" t="s">
        <v>1163</v>
      </c>
      <c r="G245" s="5">
        <v>46195</v>
      </c>
      <c r="H245" s="5">
        <v>46195</v>
      </c>
      <c r="I245" s="6"/>
      <c r="J245" s="7"/>
      <c r="K245" s="6">
        <v>24591</v>
      </c>
      <c r="L245" t="s">
        <v>1197</v>
      </c>
      <c r="N245" s="3" t="s">
        <v>321</v>
      </c>
      <c r="Q245" t="s">
        <v>1198</v>
      </c>
      <c r="R245" t="s">
        <v>624</v>
      </c>
      <c r="S245" s="8">
        <v>1140116</v>
      </c>
      <c r="T245" s="10" t="str">
        <f t="shared" si="7"/>
        <v>01140116.pdf</v>
      </c>
      <c r="U245" s="9" t="str">
        <f>HYPERLINK(CONCATENATE("https://bte.dgcp.mtsss.gov.pt/documentos/",A245,"/",F245,"/",T245))</f>
        <v>https://bte.dgcp.mtsss.gov.pt/documentos/2026/23/01140116.pdf</v>
      </c>
    </row>
    <row r="246" spans="1:21">
      <c r="A246" s="11" t="str">
        <f t="shared" si="6"/>
        <v>2026</v>
      </c>
      <c r="B246" s="1" t="s">
        <v>1199</v>
      </c>
      <c r="C246" s="2" t="s">
        <v>1200</v>
      </c>
      <c r="D246" s="3" t="s">
        <v>271</v>
      </c>
      <c r="E246" s="3">
        <v>93</v>
      </c>
      <c r="F246" s="4" t="s">
        <v>1163</v>
      </c>
      <c r="G246" s="5">
        <v>46195</v>
      </c>
      <c r="H246" s="5">
        <v>46195</v>
      </c>
      <c r="I246" s="6"/>
      <c r="J246" s="7"/>
      <c r="K246" s="6">
        <v>26321</v>
      </c>
      <c r="L246" t="s">
        <v>1201</v>
      </c>
      <c r="N246" s="3" t="s">
        <v>80</v>
      </c>
      <c r="Q246" t="s">
        <v>1202</v>
      </c>
      <c r="R246" t="s">
        <v>1203</v>
      </c>
      <c r="S246" s="8">
        <v>1170118</v>
      </c>
      <c r="T246" s="10" t="str">
        <f t="shared" si="7"/>
        <v>01170118.pdf</v>
      </c>
      <c r="U246" s="9" t="str">
        <f>HYPERLINK(CONCATENATE("https://bte.dgcp.mtsss.gov.pt/documentos/",A246,"/",F246,"/",T246))</f>
        <v>https://bte.dgcp.mtsss.gov.pt/documentos/2026/23/01170118.pdf</v>
      </c>
    </row>
    <row r="247" spans="1:21">
      <c r="A247" s="11" t="str">
        <f t="shared" si="6"/>
        <v>2026</v>
      </c>
      <c r="B247" s="1" t="s">
        <v>1204</v>
      </c>
      <c r="C247" s="2" t="s">
        <v>1205</v>
      </c>
      <c r="D247" s="3" t="s">
        <v>105</v>
      </c>
      <c r="E247" s="3">
        <v>93</v>
      </c>
      <c r="F247" s="4" t="s">
        <v>1163</v>
      </c>
      <c r="G247" s="5">
        <v>46195</v>
      </c>
      <c r="H247" s="5">
        <v>46195</v>
      </c>
      <c r="I247" s="6"/>
      <c r="J247" s="7"/>
      <c r="K247" s="6">
        <v>46850</v>
      </c>
      <c r="L247" t="s">
        <v>1206</v>
      </c>
      <c r="N247" s="3" t="s">
        <v>1207</v>
      </c>
      <c r="Q247" t="s">
        <v>1208</v>
      </c>
      <c r="R247" t="s">
        <v>1209</v>
      </c>
      <c r="S247" s="8">
        <v>1190123</v>
      </c>
      <c r="T247" s="10" t="str">
        <f t="shared" si="7"/>
        <v>01190123.pdf</v>
      </c>
      <c r="U247" s="9" t="str">
        <f>HYPERLINK(CONCATENATE("https://bte.dgcp.mtsss.gov.pt/documentos/",A247,"/",F247,"/",T247))</f>
        <v>https://bte.dgcp.mtsss.gov.pt/documentos/2026/23/01190123.pdf</v>
      </c>
    </row>
    <row r="248" spans="1:21">
      <c r="A248" s="11" t="str">
        <f t="shared" si="6"/>
        <v>2026</v>
      </c>
      <c r="B248" s="1" t="s">
        <v>1210</v>
      </c>
      <c r="C248" s="2" t="s">
        <v>1211</v>
      </c>
      <c r="D248" s="3" t="s">
        <v>105</v>
      </c>
      <c r="E248" s="3">
        <v>93</v>
      </c>
      <c r="F248" s="4" t="s">
        <v>1163</v>
      </c>
      <c r="G248" s="5">
        <v>46195</v>
      </c>
      <c r="H248" s="5">
        <v>46195</v>
      </c>
      <c r="I248" s="6"/>
      <c r="J248" s="7"/>
      <c r="K248" s="6">
        <v>47056</v>
      </c>
      <c r="L248" t="s">
        <v>1212</v>
      </c>
      <c r="N248" s="3" t="s">
        <v>1213</v>
      </c>
      <c r="Q248" t="s">
        <v>1060</v>
      </c>
      <c r="R248" t="s">
        <v>1214</v>
      </c>
      <c r="S248" s="8">
        <v>1240126</v>
      </c>
      <c r="T248" s="10" t="str">
        <f t="shared" si="7"/>
        <v>01240126.pdf</v>
      </c>
      <c r="U248" s="9" t="str">
        <f>HYPERLINK(CONCATENATE("https://bte.dgcp.mtsss.gov.pt/documentos/",A248,"/",F248,"/",T248))</f>
        <v>https://bte.dgcp.mtsss.gov.pt/documentos/2026/23/01240126.pdf</v>
      </c>
    </row>
    <row r="249" spans="1:21">
      <c r="A249" s="11" t="str">
        <f t="shared" si="6"/>
        <v>2026</v>
      </c>
      <c r="B249" s="1" t="s">
        <v>1215</v>
      </c>
      <c r="C249" s="2" t="s">
        <v>1216</v>
      </c>
      <c r="D249" s="3" t="s">
        <v>99</v>
      </c>
      <c r="E249" s="3">
        <v>93</v>
      </c>
      <c r="F249" s="4" t="s">
        <v>1217</v>
      </c>
      <c r="G249" s="5">
        <v>46202</v>
      </c>
      <c r="H249" s="5">
        <v>46202</v>
      </c>
      <c r="I249" s="6"/>
      <c r="J249" s="7"/>
      <c r="K249" s="6"/>
      <c r="N249" s="3" t="s">
        <v>1218</v>
      </c>
      <c r="Q249" t="s">
        <v>193</v>
      </c>
      <c r="R249" t="s">
        <v>1219</v>
      </c>
      <c r="S249" s="8">
        <v>50015</v>
      </c>
      <c r="T249" s="10" t="str">
        <f t="shared" si="7"/>
        <v>00050015.pdf</v>
      </c>
      <c r="U249" s="9" t="str">
        <f>HYPERLINK(CONCATENATE("https://bte.dgcp.mtsss.gov.pt/documentos/",A249,"/",F249,"/",T249))</f>
        <v>https://bte.dgcp.mtsss.gov.pt/documentos/2026/24/00050015.pdf</v>
      </c>
    </row>
    <row r="250" spans="1:21">
      <c r="A250" s="11" t="str">
        <f t="shared" si="6"/>
        <v>2026</v>
      </c>
      <c r="B250" s="1" t="s">
        <v>1220</v>
      </c>
      <c r="C250" s="2" t="s">
        <v>1221</v>
      </c>
      <c r="D250" s="3" t="s">
        <v>99</v>
      </c>
      <c r="E250" s="3">
        <v>93</v>
      </c>
      <c r="F250" s="4" t="s">
        <v>1217</v>
      </c>
      <c r="G250" s="5">
        <v>46202</v>
      </c>
      <c r="H250" s="5">
        <v>46202</v>
      </c>
      <c r="I250" s="6"/>
      <c r="J250" s="7"/>
      <c r="K250" s="6"/>
      <c r="N250" s="3"/>
      <c r="Q250" t="s">
        <v>193</v>
      </c>
      <c r="R250" t="s">
        <v>1222</v>
      </c>
      <c r="S250" s="8">
        <v>160025</v>
      </c>
      <c r="T250" s="10" t="str">
        <f t="shared" si="7"/>
        <v>00160025.pdf</v>
      </c>
      <c r="U250" s="9" t="str">
        <f>HYPERLINK(CONCATENATE("https://bte.dgcp.mtsss.gov.pt/documentos/",A250,"/",F250,"/",T250))</f>
        <v>https://bte.dgcp.mtsss.gov.pt/documentos/2026/24/00160025.pdf</v>
      </c>
    </row>
    <row r="251" spans="1:21">
      <c r="A251" s="11" t="str">
        <f t="shared" si="6"/>
        <v>2026</v>
      </c>
      <c r="B251" s="1" t="s">
        <v>1223</v>
      </c>
      <c r="C251" s="2" t="s">
        <v>1224</v>
      </c>
      <c r="D251" s="3" t="s">
        <v>222</v>
      </c>
      <c r="E251" s="3">
        <v>93</v>
      </c>
      <c r="F251" s="4" t="s">
        <v>1217</v>
      </c>
      <c r="G251" s="5">
        <v>46202</v>
      </c>
      <c r="H251" s="5">
        <v>46202</v>
      </c>
      <c r="I251" s="6"/>
      <c r="J251" s="7"/>
      <c r="K251" s="6"/>
      <c r="L251" t="s">
        <v>1225</v>
      </c>
      <c r="N251" s="3" t="s">
        <v>1225</v>
      </c>
      <c r="Q251" t="s">
        <v>1226</v>
      </c>
      <c r="R251" t="s">
        <v>1227</v>
      </c>
      <c r="S251" s="8">
        <v>260027</v>
      </c>
      <c r="T251" s="10" t="str">
        <f t="shared" si="7"/>
        <v>00260027.pdf</v>
      </c>
      <c r="U251" s="9" t="str">
        <f>HYPERLINK(CONCATENATE("https://bte.dgcp.mtsss.gov.pt/documentos/",A251,"/",F251,"/",T251))</f>
        <v>https://bte.dgcp.mtsss.gov.pt/documentos/2026/24/00260027.pdf</v>
      </c>
    </row>
    <row r="252" spans="1:21">
      <c r="A252" s="11" t="str">
        <f t="shared" si="6"/>
        <v>2026</v>
      </c>
      <c r="B252" s="1" t="s">
        <v>1228</v>
      </c>
      <c r="C252" s="2" t="s">
        <v>1229</v>
      </c>
      <c r="D252" s="3" t="s">
        <v>23</v>
      </c>
      <c r="E252" s="3">
        <v>93</v>
      </c>
      <c r="F252" s="4" t="s">
        <v>1217</v>
      </c>
      <c r="G252" s="5">
        <v>46202</v>
      </c>
      <c r="H252" s="5">
        <v>46202</v>
      </c>
      <c r="I252" s="6"/>
      <c r="J252" s="7"/>
      <c r="K252" s="6">
        <v>27208</v>
      </c>
      <c r="L252" t="s">
        <v>1230</v>
      </c>
      <c r="N252" s="3" t="s">
        <v>1231</v>
      </c>
      <c r="Q252" t="s">
        <v>330</v>
      </c>
      <c r="S252" s="8">
        <v>300031</v>
      </c>
      <c r="T252" s="10" t="str">
        <f t="shared" si="7"/>
        <v>00300031.pdf</v>
      </c>
      <c r="U252" s="9" t="str">
        <f>HYPERLINK(CONCATENATE("https://bte.dgcp.mtsss.gov.pt/documentos/",A252,"/",F252,"/",T252))</f>
        <v>https://bte.dgcp.mtsss.gov.pt/documentos/2026/24/00300031.pdf</v>
      </c>
    </row>
    <row r="253" spans="1:21">
      <c r="A253" s="11" t="str">
        <f t="shared" si="6"/>
        <v>2026</v>
      </c>
      <c r="B253" s="1" t="s">
        <v>1232</v>
      </c>
      <c r="C253" s="2" t="s">
        <v>1233</v>
      </c>
      <c r="D253" s="3" t="s">
        <v>23</v>
      </c>
      <c r="E253" s="3">
        <v>93</v>
      </c>
      <c r="F253" s="4" t="s">
        <v>1217</v>
      </c>
      <c r="G253" s="5">
        <v>46202</v>
      </c>
      <c r="H253" s="5">
        <v>46202</v>
      </c>
      <c r="I253" s="6"/>
      <c r="J253" s="7"/>
      <c r="K253" s="6">
        <v>17187</v>
      </c>
      <c r="L253" t="s">
        <v>1234</v>
      </c>
      <c r="N253" s="3" t="s">
        <v>771</v>
      </c>
      <c r="Q253" t="s">
        <v>420</v>
      </c>
      <c r="S253" s="8">
        <v>320033</v>
      </c>
      <c r="T253" s="10" t="str">
        <f t="shared" si="7"/>
        <v>00320033.pdf</v>
      </c>
      <c r="U253" s="9" t="str">
        <f>HYPERLINK(CONCATENATE("https://bte.dgcp.mtsss.gov.pt/documentos/",A253,"/",F253,"/",T253))</f>
        <v>https://bte.dgcp.mtsss.gov.pt/documentos/2026/24/00320033.pdf</v>
      </c>
    </row>
    <row r="254" spans="1:21">
      <c r="A254" s="11" t="str">
        <f t="shared" si="6"/>
        <v>2026</v>
      </c>
      <c r="B254" s="1" t="s">
        <v>1235</v>
      </c>
      <c r="C254" s="2" t="s">
        <v>1236</v>
      </c>
      <c r="D254" s="3" t="s">
        <v>23</v>
      </c>
      <c r="E254" s="3">
        <v>93</v>
      </c>
      <c r="F254" s="4" t="s">
        <v>1217</v>
      </c>
      <c r="G254" s="5">
        <v>46202</v>
      </c>
      <c r="H254" s="5">
        <v>46202</v>
      </c>
      <c r="I254" s="6"/>
      <c r="J254" s="7"/>
      <c r="K254" s="6">
        <v>26502</v>
      </c>
      <c r="L254" t="s">
        <v>1237</v>
      </c>
      <c r="N254" s="3" t="s">
        <v>1238</v>
      </c>
      <c r="Q254" t="s">
        <v>1239</v>
      </c>
      <c r="S254" s="8">
        <v>340036</v>
      </c>
      <c r="T254" s="10" t="str">
        <f t="shared" si="7"/>
        <v>00340036.pdf</v>
      </c>
      <c r="U254" s="9" t="str">
        <f>HYPERLINK(CONCATENATE("https://bte.dgcp.mtsss.gov.pt/documentos/",A254,"/",F254,"/",T254))</f>
        <v>https://bte.dgcp.mtsss.gov.pt/documentos/2026/24/00340036.pdf</v>
      </c>
    </row>
    <row r="255" spans="1:21">
      <c r="A255" s="11" t="str">
        <f t="shared" si="6"/>
        <v>2026</v>
      </c>
      <c r="B255" s="1" t="s">
        <v>1240</v>
      </c>
      <c r="C255" s="2" t="s">
        <v>1241</v>
      </c>
      <c r="D255" s="3" t="s">
        <v>23</v>
      </c>
      <c r="E255" s="3">
        <v>93</v>
      </c>
      <c r="F255" s="4" t="s">
        <v>1217</v>
      </c>
      <c r="G255" s="5">
        <v>46202</v>
      </c>
      <c r="H255" s="5">
        <v>46202</v>
      </c>
      <c r="I255" s="6"/>
      <c r="J255" s="7"/>
      <c r="K255" s="6">
        <v>26703</v>
      </c>
      <c r="L255" t="s">
        <v>1242</v>
      </c>
      <c r="N255" s="3" t="s">
        <v>1243</v>
      </c>
      <c r="Q255" t="s">
        <v>1244</v>
      </c>
      <c r="S255" s="8">
        <v>370038</v>
      </c>
      <c r="T255" s="10" t="str">
        <f t="shared" si="7"/>
        <v>00370038.pdf</v>
      </c>
      <c r="U255" s="9" t="str">
        <f>HYPERLINK(CONCATENATE("https://bte.dgcp.mtsss.gov.pt/documentos/",A255,"/",F255,"/",T255))</f>
        <v>https://bte.dgcp.mtsss.gov.pt/documentos/2026/24/00370038.pdf</v>
      </c>
    </row>
    <row r="256" spans="1:21">
      <c r="A256" s="11" t="str">
        <f t="shared" si="6"/>
        <v>2026</v>
      </c>
      <c r="B256" s="1" t="s">
        <v>1245</v>
      </c>
      <c r="C256" s="2" t="s">
        <v>1246</v>
      </c>
      <c r="D256" s="3" t="s">
        <v>23</v>
      </c>
      <c r="E256" s="3">
        <v>93</v>
      </c>
      <c r="F256" s="4" t="s">
        <v>1217</v>
      </c>
      <c r="G256" s="5">
        <v>46202</v>
      </c>
      <c r="H256" s="5">
        <v>46202</v>
      </c>
      <c r="I256" s="6"/>
      <c r="J256" s="7"/>
      <c r="K256" s="6">
        <v>47190</v>
      </c>
      <c r="L256" t="s">
        <v>1247</v>
      </c>
      <c r="N256" s="3" t="s">
        <v>1248</v>
      </c>
      <c r="Q256" t="s">
        <v>1249</v>
      </c>
      <c r="S256" s="8">
        <v>390040</v>
      </c>
      <c r="T256" s="10" t="str">
        <f t="shared" si="7"/>
        <v>00390040.pdf</v>
      </c>
      <c r="U256" s="9" t="str">
        <f>HYPERLINK(CONCATENATE("https://bte.dgcp.mtsss.gov.pt/documentos/",A256,"/",F256,"/",T256))</f>
        <v>https://bte.dgcp.mtsss.gov.pt/documentos/2026/24/00390040.pdf</v>
      </c>
    </row>
    <row r="257" spans="1:21">
      <c r="A257" s="11" t="str">
        <f t="shared" si="6"/>
        <v>2026</v>
      </c>
      <c r="B257" s="1" t="s">
        <v>1250</v>
      </c>
      <c r="C257" s="2" t="s">
        <v>1251</v>
      </c>
      <c r="D257" s="3" t="s">
        <v>23</v>
      </c>
      <c r="E257" s="3">
        <v>93</v>
      </c>
      <c r="F257" s="4" t="s">
        <v>1217</v>
      </c>
      <c r="G257" s="5">
        <v>46202</v>
      </c>
      <c r="H257" s="5">
        <v>46202</v>
      </c>
      <c r="I257" s="6"/>
      <c r="J257" s="7"/>
      <c r="K257" s="6">
        <v>27211</v>
      </c>
      <c r="L257" t="s">
        <v>1252</v>
      </c>
      <c r="N257" s="3" t="s">
        <v>1253</v>
      </c>
      <c r="Q257" t="s">
        <v>344</v>
      </c>
      <c r="S257" s="8">
        <v>410042</v>
      </c>
      <c r="T257" s="10" t="str">
        <f t="shared" si="7"/>
        <v>00410042.pdf</v>
      </c>
      <c r="U257" s="9" t="str">
        <f>HYPERLINK(CONCATENATE("https://bte.dgcp.mtsss.gov.pt/documentos/",A257,"/",F257,"/",T257))</f>
        <v>https://bte.dgcp.mtsss.gov.pt/documentos/2026/24/00410042.pdf</v>
      </c>
    </row>
    <row r="258" spans="1:21">
      <c r="A258" s="11" t="str">
        <f t="shared" ref="A258:A321" si="8">RIGHT(B258,4)</f>
        <v>2026</v>
      </c>
      <c r="B258" s="1" t="s">
        <v>1254</v>
      </c>
      <c r="C258" s="2" t="s">
        <v>1255</v>
      </c>
      <c r="D258" s="3" t="s">
        <v>23</v>
      </c>
      <c r="E258" s="3">
        <v>93</v>
      </c>
      <c r="F258" s="4" t="s">
        <v>1217</v>
      </c>
      <c r="G258" s="5">
        <v>46202</v>
      </c>
      <c r="H258" s="5">
        <v>46202</v>
      </c>
      <c r="I258" s="6"/>
      <c r="J258" s="7"/>
      <c r="K258" s="6">
        <v>26763</v>
      </c>
      <c r="L258" t="s">
        <v>1256</v>
      </c>
      <c r="N258" s="3" t="s">
        <v>1257</v>
      </c>
      <c r="Q258" t="s">
        <v>1258</v>
      </c>
      <c r="S258" s="8">
        <v>430044</v>
      </c>
      <c r="T258" s="10" t="str">
        <f t="shared" ref="T258:T321" si="9">TEXT(S258, "00000000") &amp; ".pdf"</f>
        <v>00430044.pdf</v>
      </c>
      <c r="U258" s="9" t="str">
        <f>HYPERLINK(CONCATENATE("https://bte.dgcp.mtsss.gov.pt/documentos/",A258,"/",F258,"/",T258))</f>
        <v>https://bte.dgcp.mtsss.gov.pt/documentos/2026/24/00430044.pdf</v>
      </c>
    </row>
    <row r="259" spans="1:21">
      <c r="A259" s="11" t="str">
        <f t="shared" si="8"/>
        <v>2026</v>
      </c>
      <c r="B259" s="1" t="s">
        <v>1259</v>
      </c>
      <c r="C259" s="2" t="s">
        <v>1260</v>
      </c>
      <c r="D259" s="3" t="s">
        <v>23</v>
      </c>
      <c r="E259" s="3">
        <v>93</v>
      </c>
      <c r="F259" s="4" t="s">
        <v>1217</v>
      </c>
      <c r="G259" s="5">
        <v>46202</v>
      </c>
      <c r="H259" s="5">
        <v>46202</v>
      </c>
      <c r="I259" s="6"/>
      <c r="J259" s="7"/>
      <c r="K259" s="6">
        <v>26763</v>
      </c>
      <c r="L259" t="s">
        <v>1261</v>
      </c>
      <c r="N259" s="3" t="s">
        <v>1262</v>
      </c>
      <c r="Q259" t="s">
        <v>1258</v>
      </c>
      <c r="S259" s="8">
        <v>450046</v>
      </c>
      <c r="T259" s="10" t="str">
        <f t="shared" si="9"/>
        <v>00450046.pdf</v>
      </c>
      <c r="U259" s="9" t="str">
        <f>HYPERLINK(CONCATENATE("https://bte.dgcp.mtsss.gov.pt/documentos/",A259,"/",F259,"/",T259))</f>
        <v>https://bte.dgcp.mtsss.gov.pt/documentos/2026/24/00450046.pdf</v>
      </c>
    </row>
    <row r="260" spans="1:21">
      <c r="A260" s="11" t="str">
        <f t="shared" si="8"/>
        <v>2026</v>
      </c>
      <c r="B260" s="1" t="s">
        <v>1263</v>
      </c>
      <c r="C260" s="2" t="s">
        <v>1264</v>
      </c>
      <c r="D260" s="3" t="s">
        <v>288</v>
      </c>
      <c r="E260" s="3">
        <v>93</v>
      </c>
      <c r="F260" s="4" t="s">
        <v>1217</v>
      </c>
      <c r="G260" s="5">
        <v>46202</v>
      </c>
      <c r="H260" s="5">
        <v>46202</v>
      </c>
      <c r="I260" s="6"/>
      <c r="J260" s="7"/>
      <c r="K260" s="6">
        <v>27237</v>
      </c>
      <c r="N260" s="3" t="s">
        <v>1265</v>
      </c>
      <c r="Q260" t="s">
        <v>1266</v>
      </c>
      <c r="R260" t="s">
        <v>1267</v>
      </c>
      <c r="S260" s="8">
        <v>470113</v>
      </c>
      <c r="T260" s="10" t="str">
        <f t="shared" si="9"/>
        <v>00470113.pdf</v>
      </c>
      <c r="U260" s="9" t="str">
        <f>HYPERLINK(CONCATENATE("https://bte.dgcp.mtsss.gov.pt/documentos/",A260,"/",F260,"/",T260))</f>
        <v>https://bte.dgcp.mtsss.gov.pt/documentos/2026/24/00470113.pdf</v>
      </c>
    </row>
    <row r="261" spans="1:21">
      <c r="A261" s="11" t="str">
        <f t="shared" si="8"/>
        <v>2026</v>
      </c>
      <c r="B261" s="1" t="s">
        <v>1268</v>
      </c>
      <c r="C261" s="2" t="s">
        <v>1269</v>
      </c>
      <c r="D261" s="3" t="s">
        <v>99</v>
      </c>
      <c r="E261" s="3">
        <v>93</v>
      </c>
      <c r="F261" s="4" t="s">
        <v>1217</v>
      </c>
      <c r="G261" s="5">
        <v>46202</v>
      </c>
      <c r="H261" s="5">
        <v>46202</v>
      </c>
      <c r="I261" s="6"/>
      <c r="J261" s="7"/>
      <c r="K261" s="6">
        <v>17238</v>
      </c>
      <c r="N261" s="3"/>
      <c r="Q261" t="s">
        <v>1270</v>
      </c>
      <c r="R261" t="s">
        <v>1271</v>
      </c>
      <c r="S261" s="8">
        <v>1140140</v>
      </c>
      <c r="T261" s="10" t="str">
        <f t="shared" si="9"/>
        <v>01140140.pdf</v>
      </c>
      <c r="U261" s="9" t="str">
        <f>HYPERLINK(CONCATENATE("https://bte.dgcp.mtsss.gov.pt/documentos/",A261,"/",F261,"/",T261))</f>
        <v>https://bte.dgcp.mtsss.gov.pt/documentos/2026/24/01140140.pdf</v>
      </c>
    </row>
    <row r="262" spans="1:21">
      <c r="A262" s="11" t="str">
        <f t="shared" si="8"/>
        <v>2026</v>
      </c>
      <c r="B262" s="1" t="s">
        <v>1272</v>
      </c>
      <c r="C262" s="2" t="s">
        <v>1273</v>
      </c>
      <c r="D262" s="3" t="s">
        <v>591</v>
      </c>
      <c r="E262" s="3">
        <v>93</v>
      </c>
      <c r="F262" s="4" t="s">
        <v>1217</v>
      </c>
      <c r="G262" s="5">
        <v>46202</v>
      </c>
      <c r="H262" s="5">
        <v>46202</v>
      </c>
      <c r="I262" s="6"/>
      <c r="J262" s="7"/>
      <c r="K262" s="6">
        <v>17171</v>
      </c>
      <c r="L262" t="s">
        <v>1274</v>
      </c>
      <c r="N262" s="3" t="s">
        <v>1275</v>
      </c>
      <c r="Q262" t="s">
        <v>1276</v>
      </c>
      <c r="R262" t="s">
        <v>1277</v>
      </c>
      <c r="S262" s="8">
        <v>1410147</v>
      </c>
      <c r="T262" s="10" t="str">
        <f t="shared" si="9"/>
        <v>01410147.pdf</v>
      </c>
      <c r="U262" s="9" t="str">
        <f>HYPERLINK(CONCATENATE("https://bte.dgcp.mtsss.gov.pt/documentos/",A262,"/",F262,"/",T262))</f>
        <v>https://bte.dgcp.mtsss.gov.pt/documentos/2026/24/01410147.pdf</v>
      </c>
    </row>
    <row r="263" spans="1:21">
      <c r="A263" s="11" t="str">
        <f t="shared" si="8"/>
        <v>2026</v>
      </c>
      <c r="B263" s="1" t="s">
        <v>1278</v>
      </c>
      <c r="C263" s="2" t="s">
        <v>1279</v>
      </c>
      <c r="D263" s="3" t="s">
        <v>294</v>
      </c>
      <c r="E263" s="3">
        <v>93</v>
      </c>
      <c r="F263" s="4" t="s">
        <v>1217</v>
      </c>
      <c r="G263" s="5">
        <v>46202</v>
      </c>
      <c r="H263" s="5">
        <v>46202</v>
      </c>
      <c r="I263" s="6"/>
      <c r="J263" s="7"/>
      <c r="K263" s="6">
        <v>47239</v>
      </c>
      <c r="N263" s="3"/>
      <c r="Q263" t="s">
        <v>1280</v>
      </c>
      <c r="R263" t="s">
        <v>1281</v>
      </c>
      <c r="S263" s="8">
        <v>1480158</v>
      </c>
      <c r="T263" s="10" t="str">
        <f t="shared" si="9"/>
        <v>01480158.pdf</v>
      </c>
      <c r="U263" s="9" t="str">
        <f>HYPERLINK(CONCATENATE("https://bte.dgcp.mtsss.gov.pt/documentos/",A263,"/",F263,"/",T263))</f>
        <v>https://bte.dgcp.mtsss.gov.pt/documentos/2026/24/01480158.pdf</v>
      </c>
    </row>
    <row r="264" spans="1:21">
      <c r="A264" s="11" t="str">
        <f t="shared" si="8"/>
        <v>2026</v>
      </c>
      <c r="B264" s="1" t="s">
        <v>1282</v>
      </c>
      <c r="C264" s="2" t="s">
        <v>1283</v>
      </c>
      <c r="D264" s="3" t="s">
        <v>105</v>
      </c>
      <c r="E264" s="3">
        <v>93</v>
      </c>
      <c r="F264" s="4" t="s">
        <v>1217</v>
      </c>
      <c r="G264" s="5">
        <v>46202</v>
      </c>
      <c r="H264" s="5">
        <v>46202</v>
      </c>
      <c r="I264" s="6"/>
      <c r="J264" s="7"/>
      <c r="K264" s="6">
        <v>46359</v>
      </c>
      <c r="N264" s="3" t="s">
        <v>1284</v>
      </c>
      <c r="Q264" t="s">
        <v>1285</v>
      </c>
      <c r="R264" t="s">
        <v>1286</v>
      </c>
      <c r="S264" s="8">
        <v>1590172</v>
      </c>
      <c r="T264" s="10" t="str">
        <f t="shared" si="9"/>
        <v>01590172.pdf</v>
      </c>
      <c r="U264" s="9" t="str">
        <f>HYPERLINK(CONCATENATE("https://bte.dgcp.mtsss.gov.pt/documentos/",A264,"/",F264,"/",T264))</f>
        <v>https://bte.dgcp.mtsss.gov.pt/documentos/2026/24/01590172.pdf</v>
      </c>
    </row>
    <row r="265" spans="1:21">
      <c r="A265" s="11" t="str">
        <f t="shared" si="8"/>
        <v>2026</v>
      </c>
      <c r="B265" s="1" t="s">
        <v>1287</v>
      </c>
      <c r="C265" s="2" t="s">
        <v>1288</v>
      </c>
      <c r="D265" s="3" t="s">
        <v>105</v>
      </c>
      <c r="E265" s="3">
        <v>93</v>
      </c>
      <c r="F265" s="4" t="s">
        <v>1217</v>
      </c>
      <c r="G265" s="5">
        <v>46202</v>
      </c>
      <c r="H265" s="5">
        <v>46202</v>
      </c>
      <c r="I265" s="6"/>
      <c r="J265" s="7"/>
      <c r="K265" s="6">
        <v>47156</v>
      </c>
      <c r="L265" t="s">
        <v>1289</v>
      </c>
      <c r="N265" s="3" t="s">
        <v>1290</v>
      </c>
      <c r="Q265" t="s">
        <v>1291</v>
      </c>
      <c r="R265" t="s">
        <v>1292</v>
      </c>
      <c r="S265" s="8">
        <v>1730177</v>
      </c>
      <c r="T265" s="10" t="str">
        <f t="shared" si="9"/>
        <v>01730177.pdf</v>
      </c>
      <c r="U265" s="9" t="str">
        <f>HYPERLINK(CONCATENATE("https://bte.dgcp.mtsss.gov.pt/documentos/",A265,"/",F265,"/",T265))</f>
        <v>https://bte.dgcp.mtsss.gov.pt/documentos/2026/24/01730177.pdf</v>
      </c>
    </row>
    <row r="266" spans="1:21">
      <c r="A266" s="11" t="str">
        <f t="shared" si="8"/>
        <v>2026</v>
      </c>
      <c r="B266" s="1" t="s">
        <v>1293</v>
      </c>
      <c r="C266" s="2" t="s">
        <v>1294</v>
      </c>
      <c r="D266" s="3" t="s">
        <v>271</v>
      </c>
      <c r="E266" s="3">
        <v>93</v>
      </c>
      <c r="F266" s="4" t="s">
        <v>1295</v>
      </c>
      <c r="G266" s="5">
        <v>46211</v>
      </c>
      <c r="H266" s="5">
        <v>46211</v>
      </c>
      <c r="I266" s="6"/>
      <c r="J266" s="7"/>
      <c r="K266" s="6">
        <v>26632</v>
      </c>
      <c r="L266" t="s">
        <v>1296</v>
      </c>
      <c r="N266" s="3" t="s">
        <v>1297</v>
      </c>
      <c r="Q266" t="s">
        <v>1298</v>
      </c>
      <c r="R266" t="s">
        <v>1299</v>
      </c>
      <c r="S266" s="8">
        <v>70008</v>
      </c>
      <c r="T266" s="10" t="str">
        <f t="shared" si="9"/>
        <v>00070008.pdf</v>
      </c>
      <c r="U266" s="9" t="str">
        <f>HYPERLINK(CONCATENATE("https://bte.dgcp.mtsss.gov.pt/documentos/",A266,"/",F266,"/",T266))</f>
        <v>https://bte.dgcp.mtsss.gov.pt/documentos/2026/25/00070008.pdf</v>
      </c>
    </row>
    <row r="267" spans="1:21">
      <c r="A267" s="11" t="str">
        <f t="shared" si="8"/>
        <v>2026</v>
      </c>
      <c r="B267" s="1" t="s">
        <v>1300</v>
      </c>
      <c r="C267" s="2" t="s">
        <v>1301</v>
      </c>
      <c r="D267" s="3" t="s">
        <v>271</v>
      </c>
      <c r="E267" s="3">
        <v>93</v>
      </c>
      <c r="F267" s="4" t="s">
        <v>1295</v>
      </c>
      <c r="G267" s="5">
        <v>46211</v>
      </c>
      <c r="H267" s="5">
        <v>46211</v>
      </c>
      <c r="I267" s="6"/>
      <c r="J267" s="7"/>
      <c r="K267" s="6">
        <v>26059</v>
      </c>
      <c r="L267" t="s">
        <v>1302</v>
      </c>
      <c r="N267" s="3" t="s">
        <v>843</v>
      </c>
      <c r="Q267" t="s">
        <v>1303</v>
      </c>
      <c r="R267" t="s">
        <v>1304</v>
      </c>
      <c r="S267" s="8">
        <v>90016</v>
      </c>
      <c r="T267" s="10" t="str">
        <f t="shared" si="9"/>
        <v>00090016.pdf</v>
      </c>
      <c r="U267" s="9" t="str">
        <f>HYPERLINK(CONCATENATE("https://bte.dgcp.mtsss.gov.pt/documentos/",A267,"/",F267,"/",T267))</f>
        <v>https://bte.dgcp.mtsss.gov.pt/documentos/2026/25/00090016.pdf</v>
      </c>
    </row>
    <row r="268" spans="1:21">
      <c r="A268" s="11" t="str">
        <f t="shared" si="8"/>
        <v>2026</v>
      </c>
      <c r="B268" s="1" t="s">
        <v>1305</v>
      </c>
      <c r="C268" s="2" t="s">
        <v>1306</v>
      </c>
      <c r="D268" s="3" t="s">
        <v>271</v>
      </c>
      <c r="E268" s="3">
        <v>93</v>
      </c>
      <c r="F268" s="4" t="s">
        <v>1295</v>
      </c>
      <c r="G268" s="5">
        <v>46211</v>
      </c>
      <c r="H268" s="5">
        <v>46211</v>
      </c>
      <c r="I268" s="6"/>
      <c r="J268" s="7"/>
      <c r="K268" s="6">
        <v>26940</v>
      </c>
      <c r="L268" t="s">
        <v>1307</v>
      </c>
      <c r="N268" s="3" t="s">
        <v>1308</v>
      </c>
      <c r="Q268" t="s">
        <v>1309</v>
      </c>
      <c r="R268" t="s">
        <v>1310</v>
      </c>
      <c r="S268" s="8">
        <v>170018</v>
      </c>
      <c r="T268" s="10" t="str">
        <f t="shared" si="9"/>
        <v>00170018.pdf</v>
      </c>
      <c r="U268" s="9" t="str">
        <f>HYPERLINK(CONCATENATE("https://bte.dgcp.mtsss.gov.pt/documentos/",A268,"/",F268,"/",T268))</f>
        <v>https://bte.dgcp.mtsss.gov.pt/documentos/2026/25/00170018.pdf</v>
      </c>
    </row>
    <row r="269" spans="1:21">
      <c r="A269" s="11" t="str">
        <f t="shared" si="8"/>
        <v>2026</v>
      </c>
      <c r="B269" s="1" t="s">
        <v>1311</v>
      </c>
      <c r="C269" s="2" t="s">
        <v>1312</v>
      </c>
      <c r="D269" s="3" t="s">
        <v>591</v>
      </c>
      <c r="E269" s="3">
        <v>93</v>
      </c>
      <c r="F269" s="4" t="s">
        <v>1295</v>
      </c>
      <c r="G269" s="5">
        <v>46211</v>
      </c>
      <c r="H269" s="5">
        <v>46211</v>
      </c>
      <c r="I269" s="6"/>
      <c r="J269" s="7"/>
      <c r="K269" s="6">
        <v>16388</v>
      </c>
      <c r="N269" s="3" t="s">
        <v>1313</v>
      </c>
      <c r="Q269" t="s">
        <v>1314</v>
      </c>
      <c r="R269" t="s">
        <v>1315</v>
      </c>
      <c r="S269" s="8">
        <v>190038</v>
      </c>
      <c r="T269" s="10" t="str">
        <f t="shared" si="9"/>
        <v>00190038.pdf</v>
      </c>
      <c r="U269" s="9" t="str">
        <f>HYPERLINK(CONCATENATE("https://bte.dgcp.mtsss.gov.pt/documentos/",A269,"/",F269,"/",T269))</f>
        <v>https://bte.dgcp.mtsss.gov.pt/documentos/2026/25/00190038.pdf</v>
      </c>
    </row>
    <row r="270" spans="1:21">
      <c r="A270" s="11" t="str">
        <f t="shared" si="8"/>
        <v>2026</v>
      </c>
      <c r="B270" s="1" t="s">
        <v>1316</v>
      </c>
      <c r="C270" s="2" t="s">
        <v>1317</v>
      </c>
      <c r="D270" s="3" t="s">
        <v>591</v>
      </c>
      <c r="E270" s="3">
        <v>93</v>
      </c>
      <c r="F270" s="4" t="s">
        <v>1295</v>
      </c>
      <c r="G270" s="5">
        <v>46211</v>
      </c>
      <c r="H270" s="5">
        <v>46211</v>
      </c>
      <c r="I270" s="6"/>
      <c r="J270" s="7"/>
      <c r="K270" s="6">
        <v>17059</v>
      </c>
      <c r="N270" s="3" t="s">
        <v>1318</v>
      </c>
      <c r="Q270" t="s">
        <v>1319</v>
      </c>
      <c r="R270" t="s">
        <v>1320</v>
      </c>
      <c r="S270" s="8">
        <v>390086</v>
      </c>
      <c r="T270" s="10" t="str">
        <f t="shared" si="9"/>
        <v>00390086.pdf</v>
      </c>
      <c r="U270" s="9" t="str">
        <f>HYPERLINK(CONCATENATE("https://bte.dgcp.mtsss.gov.pt/documentos/",A270,"/",F270,"/",T270))</f>
        <v>https://bte.dgcp.mtsss.gov.pt/documentos/2026/25/00390086.pdf</v>
      </c>
    </row>
    <row r="271" spans="1:21">
      <c r="A271" s="11" t="str">
        <f t="shared" si="8"/>
        <v>2026</v>
      </c>
      <c r="B271" s="1" t="s">
        <v>1321</v>
      </c>
      <c r="C271" s="2" t="s">
        <v>1322</v>
      </c>
      <c r="D271" s="3" t="s">
        <v>105</v>
      </c>
      <c r="E271" s="3">
        <v>93</v>
      </c>
      <c r="F271" s="4" t="s">
        <v>1295</v>
      </c>
      <c r="G271" s="5">
        <v>46211</v>
      </c>
      <c r="H271" s="5">
        <v>46211</v>
      </c>
      <c r="I271" s="6"/>
      <c r="J271" s="7"/>
      <c r="K271" s="6">
        <v>46887</v>
      </c>
      <c r="L271" t="s">
        <v>1323</v>
      </c>
      <c r="N271" s="3" t="s">
        <v>1324</v>
      </c>
      <c r="Q271" t="s">
        <v>1325</v>
      </c>
      <c r="R271" t="s">
        <v>1326</v>
      </c>
      <c r="S271" s="8">
        <v>870088</v>
      </c>
      <c r="T271" s="10" t="str">
        <f t="shared" si="9"/>
        <v>00870088.pdf</v>
      </c>
      <c r="U271" s="9" t="str">
        <f>HYPERLINK(CONCATENATE("https://bte.dgcp.mtsss.gov.pt/documentos/",A271,"/",F271,"/",T271))</f>
        <v>https://bte.dgcp.mtsss.gov.pt/documentos/2026/25/00870088.pdf</v>
      </c>
    </row>
    <row r="272" spans="1:21">
      <c r="A272" s="11" t="str">
        <f t="shared" si="8"/>
        <v>2026</v>
      </c>
      <c r="B272" s="1" t="s">
        <v>1327</v>
      </c>
      <c r="C272" s="2" t="s">
        <v>1328</v>
      </c>
      <c r="D272" s="3" t="s">
        <v>1329</v>
      </c>
      <c r="E272" s="3">
        <v>93</v>
      </c>
      <c r="F272" s="4" t="s">
        <v>1295</v>
      </c>
      <c r="G272" s="5">
        <v>46211</v>
      </c>
      <c r="H272" s="5">
        <v>46211</v>
      </c>
      <c r="I272" s="6"/>
      <c r="J272" s="7"/>
      <c r="K272" s="6">
        <v>25989</v>
      </c>
      <c r="L272" t="s">
        <v>1330</v>
      </c>
      <c r="N272" s="3" t="s">
        <v>1331</v>
      </c>
      <c r="Q272" t="s">
        <v>1332</v>
      </c>
      <c r="S272" s="8">
        <v>890093</v>
      </c>
      <c r="T272" s="10" t="str">
        <f t="shared" si="9"/>
        <v>00890093.pdf</v>
      </c>
      <c r="U272" s="9" t="str">
        <f>HYPERLINK(CONCATENATE("https://bte.dgcp.mtsss.gov.pt/documentos/",A272,"/",F272,"/",T272))</f>
        <v>https://bte.dgcp.mtsss.gov.pt/documentos/2026/25/00890093.pdf</v>
      </c>
    </row>
    <row r="273" spans="1:21">
      <c r="A273" s="11" t="str">
        <f t="shared" si="8"/>
        <v>2026</v>
      </c>
      <c r="B273" s="1" t="s">
        <v>1333</v>
      </c>
      <c r="C273" s="2" t="s">
        <v>1334</v>
      </c>
      <c r="D273" s="3" t="s">
        <v>99</v>
      </c>
      <c r="E273" s="3">
        <v>93</v>
      </c>
      <c r="F273" s="4" t="s">
        <v>1335</v>
      </c>
      <c r="G273" s="5">
        <v>46218</v>
      </c>
      <c r="H273" s="5">
        <v>46218</v>
      </c>
      <c r="I273" s="6"/>
      <c r="J273" s="7"/>
      <c r="K273" s="6"/>
      <c r="N273" s="3"/>
      <c r="Q273" t="s">
        <v>193</v>
      </c>
      <c r="R273" t="s">
        <v>1336</v>
      </c>
      <c r="S273" s="8">
        <v>50020</v>
      </c>
      <c r="T273" s="10" t="str">
        <f t="shared" si="9"/>
        <v>00050020.pdf</v>
      </c>
      <c r="U273" s="9" t="str">
        <f>HYPERLINK(CONCATENATE("https://bte.dgcp.mtsss.gov.pt/documentos/",A273,"/",F273,"/",T273))</f>
        <v>https://bte.dgcp.mtsss.gov.pt/documentos/2026/26/00050020.pdf</v>
      </c>
    </row>
    <row r="274" spans="1:21">
      <c r="A274" s="11" t="str">
        <f t="shared" si="8"/>
        <v>2026</v>
      </c>
      <c r="B274" s="1" t="s">
        <v>1337</v>
      </c>
      <c r="C274" s="2" t="s">
        <v>1338</v>
      </c>
      <c r="D274" s="3" t="s">
        <v>99</v>
      </c>
      <c r="E274" s="3">
        <v>93</v>
      </c>
      <c r="F274" s="4" t="s">
        <v>1335</v>
      </c>
      <c r="G274" s="5">
        <v>46218</v>
      </c>
      <c r="H274" s="5">
        <v>46218</v>
      </c>
      <c r="I274" s="6"/>
      <c r="J274" s="7"/>
      <c r="K274" s="6"/>
      <c r="N274" s="3" t="s">
        <v>1339</v>
      </c>
      <c r="Q274" t="s">
        <v>193</v>
      </c>
      <c r="R274" t="s">
        <v>1340</v>
      </c>
      <c r="S274" s="8">
        <v>210036</v>
      </c>
      <c r="T274" s="10" t="str">
        <f t="shared" si="9"/>
        <v>00210036.pdf</v>
      </c>
      <c r="U274" s="9" t="str">
        <f>HYPERLINK(CONCATENATE("https://bte.dgcp.mtsss.gov.pt/documentos/",A274,"/",F274,"/",T274))</f>
        <v>https://bte.dgcp.mtsss.gov.pt/documentos/2026/26/00210036.pdf</v>
      </c>
    </row>
    <row r="275" spans="1:21">
      <c r="A275" s="11" t="str">
        <f t="shared" si="8"/>
        <v>2026</v>
      </c>
      <c r="B275" s="1" t="s">
        <v>1341</v>
      </c>
      <c r="C275" s="2" t="s">
        <v>1342</v>
      </c>
      <c r="D275" s="3" t="s">
        <v>99</v>
      </c>
      <c r="E275" s="3">
        <v>93</v>
      </c>
      <c r="F275" s="4" t="s">
        <v>1335</v>
      </c>
      <c r="G275" s="5">
        <v>46218</v>
      </c>
      <c r="H275" s="5">
        <v>46218</v>
      </c>
      <c r="I275" s="6"/>
      <c r="J275" s="7"/>
      <c r="K275" s="6"/>
      <c r="N275" s="3"/>
      <c r="Q275" t="s">
        <v>193</v>
      </c>
      <c r="R275" t="s">
        <v>1343</v>
      </c>
      <c r="S275" s="8">
        <v>370052</v>
      </c>
      <c r="T275" s="10" t="str">
        <f t="shared" si="9"/>
        <v>00370052.pdf</v>
      </c>
      <c r="U275" s="9" t="str">
        <f>HYPERLINK(CONCATENATE("https://bte.dgcp.mtsss.gov.pt/documentos/",A275,"/",F275,"/",T275))</f>
        <v>https://bte.dgcp.mtsss.gov.pt/documentos/2026/26/00370052.pdf</v>
      </c>
    </row>
    <row r="276" spans="1:21">
      <c r="A276" s="11" t="str">
        <f t="shared" si="8"/>
        <v>2026</v>
      </c>
      <c r="B276" s="1" t="s">
        <v>1344</v>
      </c>
      <c r="C276" s="2" t="s">
        <v>1345</v>
      </c>
      <c r="D276" s="3" t="s">
        <v>222</v>
      </c>
      <c r="E276" s="3">
        <v>93</v>
      </c>
      <c r="F276" s="4" t="s">
        <v>1335</v>
      </c>
      <c r="G276" s="5">
        <v>46218</v>
      </c>
      <c r="H276" s="5">
        <v>46218</v>
      </c>
      <c r="I276" s="6"/>
      <c r="J276" s="7"/>
      <c r="K276" s="6"/>
      <c r="L276" t="s">
        <v>1346</v>
      </c>
      <c r="N276" s="3" t="s">
        <v>1347</v>
      </c>
      <c r="Q276" t="s">
        <v>1348</v>
      </c>
      <c r="R276" t="s">
        <v>1349</v>
      </c>
      <c r="S276" s="8">
        <v>530054</v>
      </c>
      <c r="T276" s="10" t="str">
        <f t="shared" si="9"/>
        <v>00530054.pdf</v>
      </c>
      <c r="U276" s="9" t="str">
        <f>HYPERLINK(CONCATENATE("https://bte.dgcp.mtsss.gov.pt/documentos/",A276,"/",F276,"/",T276))</f>
        <v>https://bte.dgcp.mtsss.gov.pt/documentos/2026/26/00530054.pdf</v>
      </c>
    </row>
    <row r="277" spans="1:21">
      <c r="A277" s="11" t="str">
        <f t="shared" si="8"/>
        <v>2026</v>
      </c>
      <c r="B277" s="1" t="s">
        <v>1350</v>
      </c>
      <c r="C277" s="2" t="s">
        <v>1351</v>
      </c>
      <c r="D277" s="3" t="s">
        <v>288</v>
      </c>
      <c r="E277" s="3">
        <v>93</v>
      </c>
      <c r="F277" s="4" t="s">
        <v>1335</v>
      </c>
      <c r="G277" s="5">
        <v>46218</v>
      </c>
      <c r="H277" s="5">
        <v>46218</v>
      </c>
      <c r="I277" s="6"/>
      <c r="J277" s="7"/>
      <c r="K277" s="6">
        <v>27240</v>
      </c>
      <c r="N277" s="3" t="s">
        <v>415</v>
      </c>
      <c r="Q277" t="s">
        <v>27</v>
      </c>
      <c r="R277" t="s">
        <v>1352</v>
      </c>
      <c r="S277" s="8">
        <v>750111</v>
      </c>
      <c r="T277" s="10" t="str">
        <f t="shared" si="9"/>
        <v>00750111.pdf</v>
      </c>
      <c r="U277" s="9" t="str">
        <f>HYPERLINK(CONCATENATE("https://bte.dgcp.mtsss.gov.pt/documentos/",A277,"/",F277,"/",T277))</f>
        <v>https://bte.dgcp.mtsss.gov.pt/documentos/2026/26/00750111.pdf</v>
      </c>
    </row>
    <row r="278" spans="1:21">
      <c r="A278" s="11" t="str">
        <f t="shared" si="8"/>
        <v>2026</v>
      </c>
      <c r="B278" s="1" t="s">
        <v>1353</v>
      </c>
      <c r="C278" s="2" t="s">
        <v>1354</v>
      </c>
      <c r="D278" s="3" t="s">
        <v>288</v>
      </c>
      <c r="E278" s="3">
        <v>93</v>
      </c>
      <c r="F278" s="4" t="s">
        <v>1335</v>
      </c>
      <c r="G278" s="5">
        <v>46218</v>
      </c>
      <c r="H278" s="5">
        <v>46218</v>
      </c>
      <c r="I278" s="6"/>
      <c r="J278" s="7"/>
      <c r="K278" s="6">
        <v>27241</v>
      </c>
      <c r="N278" s="3" t="s">
        <v>36</v>
      </c>
      <c r="Q278" t="s">
        <v>37</v>
      </c>
      <c r="R278" t="s">
        <v>1355</v>
      </c>
      <c r="S278" s="8">
        <v>1120154</v>
      </c>
      <c r="T278" s="10" t="str">
        <f t="shared" si="9"/>
        <v>01120154.pdf</v>
      </c>
      <c r="U278" s="9" t="str">
        <f>HYPERLINK(CONCATENATE("https://bte.dgcp.mtsss.gov.pt/documentos/",A278,"/",F278,"/",T278))</f>
        <v>https://bte.dgcp.mtsss.gov.pt/documentos/2026/26/01120154.pdf</v>
      </c>
    </row>
    <row r="279" spans="1:21">
      <c r="A279" s="11" t="str">
        <f t="shared" si="8"/>
        <v>2026</v>
      </c>
      <c r="B279" s="1" t="s">
        <v>1356</v>
      </c>
      <c r="C279" s="2" t="s">
        <v>1357</v>
      </c>
      <c r="D279" s="3" t="s">
        <v>288</v>
      </c>
      <c r="E279" s="3">
        <v>93</v>
      </c>
      <c r="F279" s="4" t="s">
        <v>1335</v>
      </c>
      <c r="G279" s="5">
        <v>46218</v>
      </c>
      <c r="H279" s="5">
        <v>46218</v>
      </c>
      <c r="I279" s="6"/>
      <c r="J279" s="7"/>
      <c r="K279" s="6">
        <v>27242</v>
      </c>
      <c r="N279" s="3" t="s">
        <v>95</v>
      </c>
      <c r="Q279" t="s">
        <v>96</v>
      </c>
      <c r="R279" t="s">
        <v>1358</v>
      </c>
      <c r="S279" s="8">
        <v>1550165</v>
      </c>
      <c r="T279" s="10" t="str">
        <f t="shared" si="9"/>
        <v>01550165.pdf</v>
      </c>
      <c r="U279" s="9" t="str">
        <f>HYPERLINK(CONCATENATE("https://bte.dgcp.mtsss.gov.pt/documentos/",A279,"/",F279,"/",T279))</f>
        <v>https://bte.dgcp.mtsss.gov.pt/documentos/2026/26/01550165.pdf</v>
      </c>
    </row>
    <row r="280" spans="1:21">
      <c r="A280" s="11" t="str">
        <f t="shared" si="8"/>
        <v>2026</v>
      </c>
      <c r="B280" s="1" t="s">
        <v>1359</v>
      </c>
      <c r="C280" s="2" t="s">
        <v>1360</v>
      </c>
      <c r="D280" s="3" t="s">
        <v>288</v>
      </c>
      <c r="E280" s="3">
        <v>93</v>
      </c>
      <c r="F280" s="4" t="s">
        <v>1335</v>
      </c>
      <c r="G280" s="5">
        <v>46218</v>
      </c>
      <c r="H280" s="5">
        <v>46218</v>
      </c>
      <c r="I280" s="6"/>
      <c r="J280" s="7"/>
      <c r="K280" s="6">
        <v>27243</v>
      </c>
      <c r="N280" s="3" t="s">
        <v>1361</v>
      </c>
      <c r="Q280" t="s">
        <v>1362</v>
      </c>
      <c r="R280" t="s">
        <v>1363</v>
      </c>
      <c r="S280" s="8">
        <v>1660187</v>
      </c>
      <c r="T280" s="10" t="str">
        <f t="shared" si="9"/>
        <v>01660187.pdf</v>
      </c>
      <c r="U280" s="9" t="str">
        <f>HYPERLINK(CONCATENATE("https://bte.dgcp.mtsss.gov.pt/documentos/",A280,"/",F280,"/",T280))</f>
        <v>https://bte.dgcp.mtsss.gov.pt/documentos/2026/26/01660187.pdf</v>
      </c>
    </row>
    <row r="281" spans="1:21">
      <c r="A281" s="11" t="str">
        <f t="shared" si="8"/>
        <v>2026</v>
      </c>
      <c r="B281" s="1" t="s">
        <v>1364</v>
      </c>
      <c r="C281" s="2" t="s">
        <v>1365</v>
      </c>
      <c r="D281" s="3" t="s">
        <v>271</v>
      </c>
      <c r="E281" s="3">
        <v>93</v>
      </c>
      <c r="F281" s="4" t="s">
        <v>1335</v>
      </c>
      <c r="G281" s="5">
        <v>46218</v>
      </c>
      <c r="H281" s="5">
        <v>46218</v>
      </c>
      <c r="I281" s="6"/>
      <c r="J281" s="7"/>
      <c r="K281" s="6">
        <v>26022</v>
      </c>
      <c r="L281" t="s">
        <v>1366</v>
      </c>
      <c r="N281" s="3" t="s">
        <v>55</v>
      </c>
      <c r="Q281" t="s">
        <v>1367</v>
      </c>
      <c r="R281" t="s">
        <v>1368</v>
      </c>
      <c r="S281" s="8">
        <v>1880202</v>
      </c>
      <c r="T281" s="10" t="str">
        <f t="shared" si="9"/>
        <v>01880202.pdf</v>
      </c>
      <c r="U281" s="9" t="str">
        <f>HYPERLINK(CONCATENATE("https://bte.dgcp.mtsss.gov.pt/documentos/",A281,"/",F281,"/",T281))</f>
        <v>https://bte.dgcp.mtsss.gov.pt/documentos/2026/26/01880202.pdf</v>
      </c>
    </row>
    <row r="282" spans="1:21">
      <c r="A282" s="11" t="str">
        <f t="shared" si="8"/>
        <v>2026</v>
      </c>
      <c r="B282" s="1" t="s">
        <v>1369</v>
      </c>
      <c r="C282" s="2" t="s">
        <v>1370</v>
      </c>
      <c r="D282" s="3" t="s">
        <v>271</v>
      </c>
      <c r="E282" s="3">
        <v>93</v>
      </c>
      <c r="F282" s="4" t="s">
        <v>1335</v>
      </c>
      <c r="G282" s="5">
        <v>46218</v>
      </c>
      <c r="H282" s="5">
        <v>46218</v>
      </c>
      <c r="I282" s="6"/>
      <c r="J282" s="7"/>
      <c r="K282" s="6">
        <v>26992</v>
      </c>
      <c r="N282" s="3" t="s">
        <v>239</v>
      </c>
      <c r="Q282" t="s">
        <v>156</v>
      </c>
      <c r="R282" t="s">
        <v>1371</v>
      </c>
      <c r="S282" s="8">
        <v>2030234</v>
      </c>
      <c r="T282" s="10" t="str">
        <f t="shared" si="9"/>
        <v>02030234.pdf</v>
      </c>
      <c r="U282" s="9" t="str">
        <f>HYPERLINK(CONCATENATE("https://bte.dgcp.mtsss.gov.pt/documentos/",A282,"/",F282,"/",T282))</f>
        <v>https://bte.dgcp.mtsss.gov.pt/documentos/2026/26/02030234.pdf</v>
      </c>
    </row>
    <row r="283" spans="1:21">
      <c r="A283" s="11" t="str">
        <f t="shared" si="8"/>
        <v>2026</v>
      </c>
      <c r="B283" s="1" t="s">
        <v>1372</v>
      </c>
      <c r="C283" s="2" t="s">
        <v>1373</v>
      </c>
      <c r="D283" s="3" t="s">
        <v>271</v>
      </c>
      <c r="E283" s="3">
        <v>93</v>
      </c>
      <c r="F283" s="4" t="s">
        <v>1335</v>
      </c>
      <c r="G283" s="5">
        <v>46218</v>
      </c>
      <c r="H283" s="5">
        <v>46218</v>
      </c>
      <c r="I283" s="6"/>
      <c r="J283" s="7"/>
      <c r="K283" s="6">
        <v>26862</v>
      </c>
      <c r="L283" t="s">
        <v>1374</v>
      </c>
      <c r="N283" s="3" t="s">
        <v>431</v>
      </c>
      <c r="Q283" t="s">
        <v>1375</v>
      </c>
      <c r="R283" t="s">
        <v>951</v>
      </c>
      <c r="S283" s="8">
        <v>2350237</v>
      </c>
      <c r="T283" s="10" t="str">
        <f t="shared" si="9"/>
        <v>02350237.pdf</v>
      </c>
      <c r="U283" s="9" t="str">
        <f>HYPERLINK(CONCATENATE("https://bte.dgcp.mtsss.gov.pt/documentos/",A283,"/",F283,"/",T283))</f>
        <v>https://bte.dgcp.mtsss.gov.pt/documentos/2026/26/02350237.pdf</v>
      </c>
    </row>
    <row r="284" spans="1:21">
      <c r="A284" s="11" t="str">
        <f t="shared" si="8"/>
        <v>2026</v>
      </c>
      <c r="B284" s="1" t="s">
        <v>1376</v>
      </c>
      <c r="C284" s="2" t="s">
        <v>1377</v>
      </c>
      <c r="D284" s="3" t="s">
        <v>271</v>
      </c>
      <c r="E284" s="3">
        <v>93</v>
      </c>
      <c r="F284" s="4" t="s">
        <v>1335</v>
      </c>
      <c r="G284" s="5">
        <v>46218</v>
      </c>
      <c r="H284" s="5">
        <v>46218</v>
      </c>
      <c r="I284" s="6"/>
      <c r="J284" s="7"/>
      <c r="K284" s="6">
        <v>27183</v>
      </c>
      <c r="L284" t="s">
        <v>1378</v>
      </c>
      <c r="N284" s="3" t="s">
        <v>1015</v>
      </c>
      <c r="Q284" t="s">
        <v>1379</v>
      </c>
      <c r="R284" t="s">
        <v>1380</v>
      </c>
      <c r="S284" s="8">
        <v>2380240</v>
      </c>
      <c r="T284" s="10" t="str">
        <f t="shared" si="9"/>
        <v>02380240.pdf</v>
      </c>
      <c r="U284" s="9" t="str">
        <f>HYPERLINK(CONCATENATE("https://bte.dgcp.mtsss.gov.pt/documentos/",A284,"/",F284,"/",T284))</f>
        <v>https://bte.dgcp.mtsss.gov.pt/documentos/2026/26/02380240.pdf</v>
      </c>
    </row>
    <row r="285" spans="1:21">
      <c r="A285" s="11" t="str">
        <f t="shared" si="8"/>
        <v>2026</v>
      </c>
      <c r="B285" s="1" t="s">
        <v>1381</v>
      </c>
      <c r="C285" s="2" t="s">
        <v>1382</v>
      </c>
      <c r="D285" s="3" t="s">
        <v>99</v>
      </c>
      <c r="E285" s="3">
        <v>93</v>
      </c>
      <c r="F285" s="4" t="s">
        <v>1335</v>
      </c>
      <c r="G285" s="5">
        <v>46218</v>
      </c>
      <c r="H285" s="5">
        <v>46218</v>
      </c>
      <c r="I285" s="6"/>
      <c r="J285" s="7"/>
      <c r="K285" s="6">
        <v>17244</v>
      </c>
      <c r="N285" s="3" t="s">
        <v>1383</v>
      </c>
      <c r="Q285" t="s">
        <v>32</v>
      </c>
      <c r="R285" t="s">
        <v>1384</v>
      </c>
      <c r="S285" s="8">
        <v>2410273</v>
      </c>
      <c r="T285" s="10" t="str">
        <f t="shared" si="9"/>
        <v>02410273.pdf</v>
      </c>
      <c r="U285" s="9" t="str">
        <f>HYPERLINK(CONCATENATE("https://bte.dgcp.mtsss.gov.pt/documentos/",A285,"/",F285,"/",T285))</f>
        <v>https://bte.dgcp.mtsss.gov.pt/documentos/2026/26/02410273.pdf</v>
      </c>
    </row>
    <row r="286" spans="1:21">
      <c r="A286" s="11" t="str">
        <f t="shared" si="8"/>
        <v>2026</v>
      </c>
      <c r="B286" s="1" t="s">
        <v>1385</v>
      </c>
      <c r="C286" s="2" t="s">
        <v>1386</v>
      </c>
      <c r="D286" s="3" t="s">
        <v>1329</v>
      </c>
      <c r="E286" s="3">
        <v>93</v>
      </c>
      <c r="F286" s="4" t="s">
        <v>1335</v>
      </c>
      <c r="G286" s="5">
        <v>46218</v>
      </c>
      <c r="H286" s="5">
        <v>46218</v>
      </c>
      <c r="I286" s="6"/>
      <c r="J286" s="7"/>
      <c r="K286" s="6">
        <v>27180</v>
      </c>
      <c r="L286" t="s">
        <v>1387</v>
      </c>
      <c r="N286" s="3" t="s">
        <v>1388</v>
      </c>
      <c r="Q286" t="s">
        <v>580</v>
      </c>
      <c r="S286" s="8">
        <v>2740274</v>
      </c>
      <c r="T286" s="10" t="str">
        <f t="shared" si="9"/>
        <v>02740274.pdf</v>
      </c>
      <c r="U286" s="9" t="str">
        <f>HYPERLINK(CONCATENATE("https://bte.dgcp.mtsss.gov.pt/documentos/",A286,"/",F286,"/",T286))</f>
        <v>https://bte.dgcp.mtsss.gov.pt/documentos/2026/26/02740274.pdf</v>
      </c>
    </row>
    <row r="287" spans="1:21">
      <c r="A287" s="11" t="str">
        <f t="shared" si="8"/>
        <v>2026</v>
      </c>
      <c r="B287" s="1" t="s">
        <v>1389</v>
      </c>
      <c r="C287" s="2" t="s">
        <v>1390</v>
      </c>
      <c r="D287" s="3" t="s">
        <v>99</v>
      </c>
      <c r="E287" s="3">
        <v>93</v>
      </c>
      <c r="F287" s="4" t="s">
        <v>1391</v>
      </c>
      <c r="G287" s="5">
        <v>46225</v>
      </c>
      <c r="H287" s="5">
        <v>46225</v>
      </c>
      <c r="I287" s="6"/>
      <c r="J287" s="7"/>
      <c r="K287" s="6"/>
      <c r="N287" s="3" t="s">
        <v>1392</v>
      </c>
      <c r="Q287" t="s">
        <v>193</v>
      </c>
      <c r="R287" t="s">
        <v>1393</v>
      </c>
      <c r="S287" s="8">
        <v>60019</v>
      </c>
      <c r="T287" s="10" t="str">
        <f t="shared" si="9"/>
        <v>00060019.pdf</v>
      </c>
      <c r="U287" s="9" t="str">
        <f>HYPERLINK(CONCATENATE("https://bte.dgcp.mtsss.gov.pt/documentos/",A287,"/",F287,"/",T287))</f>
        <v>https://bte.dgcp.mtsss.gov.pt/documentos/2026/27/00060019.pdf</v>
      </c>
    </row>
    <row r="288" spans="1:21">
      <c r="A288" s="11" t="str">
        <f t="shared" si="8"/>
        <v>2026</v>
      </c>
      <c r="B288" s="1" t="s">
        <v>1394</v>
      </c>
      <c r="C288" s="2" t="s">
        <v>1395</v>
      </c>
      <c r="D288" s="3" t="s">
        <v>23</v>
      </c>
      <c r="E288" s="3">
        <v>93</v>
      </c>
      <c r="F288" s="4" t="s">
        <v>1391</v>
      </c>
      <c r="G288" s="5">
        <v>46225</v>
      </c>
      <c r="H288" s="5">
        <v>46225</v>
      </c>
      <c r="I288" s="6"/>
      <c r="J288" s="7"/>
      <c r="K288" s="6">
        <v>27214</v>
      </c>
      <c r="L288" s="3" t="s">
        <v>1396</v>
      </c>
      <c r="N288" s="3" t="s">
        <v>1397</v>
      </c>
      <c r="Q288" s="3" t="s">
        <v>481</v>
      </c>
      <c r="S288" s="8">
        <v>320033</v>
      </c>
      <c r="T288" s="10" t="str">
        <f t="shared" si="9"/>
        <v>00320033.pdf</v>
      </c>
      <c r="U288" s="9" t="str">
        <f>HYPERLINK(CONCATENATE("https://bte.dgcp.mtsss.gov.pt/documentos/",A288,"/",F288,"/",T288))</f>
        <v>https://bte.dgcp.mtsss.gov.pt/documentos/2026/27/00320033.pdf</v>
      </c>
    </row>
    <row r="289" spans="1:21">
      <c r="A289" s="11" t="str">
        <f t="shared" si="8"/>
        <v>2026</v>
      </c>
      <c r="B289" s="1" t="s">
        <v>1398</v>
      </c>
      <c r="C289" s="2" t="s">
        <v>1399</v>
      </c>
      <c r="D289" s="3" t="s">
        <v>23</v>
      </c>
      <c r="E289" s="3">
        <v>93</v>
      </c>
      <c r="F289" s="4" t="s">
        <v>1391</v>
      </c>
      <c r="G289" s="5">
        <v>46225</v>
      </c>
      <c r="H289" s="5">
        <v>46225</v>
      </c>
      <c r="I289" s="6"/>
      <c r="J289" s="7"/>
      <c r="K289" s="6">
        <v>26577</v>
      </c>
      <c r="L289" s="3" t="s">
        <v>1400</v>
      </c>
      <c r="N289" s="3" t="s">
        <v>1401</v>
      </c>
      <c r="Q289" s="3" t="s">
        <v>1402</v>
      </c>
      <c r="S289" s="8">
        <v>340035</v>
      </c>
      <c r="T289" s="10" t="str">
        <f t="shared" si="9"/>
        <v>00340035.pdf</v>
      </c>
      <c r="U289" s="9" t="str">
        <f>HYPERLINK(CONCATENATE("https://bte.dgcp.mtsss.gov.pt/documentos/",A289,"/",F289,"/",T289))</f>
        <v>https://bte.dgcp.mtsss.gov.pt/documentos/2026/27/00340035.pdf</v>
      </c>
    </row>
    <row r="290" spans="1:21">
      <c r="A290" s="11" t="str">
        <f t="shared" si="8"/>
        <v>2026</v>
      </c>
      <c r="B290" s="1" t="s">
        <v>1403</v>
      </c>
      <c r="C290" s="2" t="s">
        <v>1404</v>
      </c>
      <c r="D290" s="3" t="s">
        <v>23</v>
      </c>
      <c r="E290" s="3">
        <v>93</v>
      </c>
      <c r="F290" s="4" t="s">
        <v>1391</v>
      </c>
      <c r="G290" s="5">
        <v>46225</v>
      </c>
      <c r="H290" s="5">
        <v>46225</v>
      </c>
      <c r="I290" s="6"/>
      <c r="J290" s="7"/>
      <c r="K290" s="6">
        <v>27182</v>
      </c>
      <c r="L290" s="3" t="s">
        <v>1405</v>
      </c>
      <c r="N290" s="3" t="s">
        <v>755</v>
      </c>
      <c r="Q290" s="3" t="s">
        <v>921</v>
      </c>
      <c r="S290" s="8">
        <v>360037</v>
      </c>
      <c r="T290" s="10" t="str">
        <f t="shared" si="9"/>
        <v>00360037.pdf</v>
      </c>
      <c r="U290" s="9" t="str">
        <f>HYPERLINK(CONCATENATE("https://bte.dgcp.mtsss.gov.pt/documentos/",A290,"/",F290,"/",T290))</f>
        <v>https://bte.dgcp.mtsss.gov.pt/documentos/2026/27/00360037.pdf</v>
      </c>
    </row>
    <row r="291" spans="1:21">
      <c r="A291" s="11" t="str">
        <f t="shared" si="8"/>
        <v>2026</v>
      </c>
      <c r="B291" s="1" t="s">
        <v>1406</v>
      </c>
      <c r="C291" s="2" t="s">
        <v>1407</v>
      </c>
      <c r="D291" s="3" t="s">
        <v>23</v>
      </c>
      <c r="E291" s="3">
        <v>93</v>
      </c>
      <c r="F291" s="4" t="s">
        <v>1391</v>
      </c>
      <c r="G291" s="5">
        <v>46225</v>
      </c>
      <c r="H291" s="5">
        <v>46225</v>
      </c>
      <c r="I291" s="6"/>
      <c r="J291" s="7"/>
      <c r="K291" s="6">
        <v>27209</v>
      </c>
      <c r="L291" s="3" t="s">
        <v>1408</v>
      </c>
      <c r="N291" s="3" t="s">
        <v>1409</v>
      </c>
      <c r="Q291" s="3" t="s">
        <v>335</v>
      </c>
      <c r="S291" s="8">
        <v>380039</v>
      </c>
      <c r="T291" s="10" t="str">
        <f t="shared" si="9"/>
        <v>00380039.pdf</v>
      </c>
      <c r="U291" s="9" t="str">
        <f>HYPERLINK(CONCATENATE("https://bte.dgcp.mtsss.gov.pt/documentos/",A291,"/",F291,"/",T291))</f>
        <v>https://bte.dgcp.mtsss.gov.pt/documentos/2026/27/00380039.pdf</v>
      </c>
    </row>
    <row r="292" spans="1:21">
      <c r="A292" s="11" t="str">
        <f t="shared" si="8"/>
        <v>2026</v>
      </c>
      <c r="B292" s="1" t="s">
        <v>1410</v>
      </c>
      <c r="C292" s="2" t="s">
        <v>1411</v>
      </c>
      <c r="D292" s="3" t="s">
        <v>23</v>
      </c>
      <c r="E292" s="3">
        <v>93</v>
      </c>
      <c r="F292" s="4" t="s">
        <v>1391</v>
      </c>
      <c r="G292" s="5">
        <v>46225</v>
      </c>
      <c r="H292" s="5">
        <v>46225</v>
      </c>
      <c r="I292" s="6"/>
      <c r="J292" s="7"/>
      <c r="K292" s="6">
        <v>27210</v>
      </c>
      <c r="L292" s="3" t="s">
        <v>1412</v>
      </c>
      <c r="N292" s="3" t="s">
        <v>1413</v>
      </c>
      <c r="Q292" s="3" t="s">
        <v>1414</v>
      </c>
      <c r="S292" s="8">
        <v>400041</v>
      </c>
      <c r="T292" s="10" t="str">
        <f t="shared" si="9"/>
        <v>00400041.pdf</v>
      </c>
      <c r="U292" s="9" t="str">
        <f>HYPERLINK(CONCATENATE("https://bte.dgcp.mtsss.gov.pt/documentos/",A292,"/",F292,"/",T292))</f>
        <v>https://bte.dgcp.mtsss.gov.pt/documentos/2026/27/00400041.pdf</v>
      </c>
    </row>
    <row r="293" spans="1:21">
      <c r="A293" s="11" t="str">
        <f t="shared" si="8"/>
        <v>2026</v>
      </c>
      <c r="B293" s="1" t="s">
        <v>1415</v>
      </c>
      <c r="C293" s="2" t="s">
        <v>1416</v>
      </c>
      <c r="D293" s="3" t="s">
        <v>23</v>
      </c>
      <c r="E293" s="3">
        <v>93</v>
      </c>
      <c r="F293" s="4" t="s">
        <v>1391</v>
      </c>
      <c r="G293" s="5">
        <v>46225</v>
      </c>
      <c r="H293" s="5">
        <v>46225</v>
      </c>
      <c r="I293" s="6"/>
      <c r="J293" s="7"/>
      <c r="K293" s="6">
        <v>25792</v>
      </c>
      <c r="L293" s="3" t="s">
        <v>1417</v>
      </c>
      <c r="N293" s="3" t="s">
        <v>1418</v>
      </c>
      <c r="Q293" s="3" t="s">
        <v>1419</v>
      </c>
      <c r="S293" s="8">
        <v>420043</v>
      </c>
      <c r="T293" s="10" t="str">
        <f t="shared" si="9"/>
        <v>00420043.pdf</v>
      </c>
      <c r="U293" s="9" t="str">
        <f>HYPERLINK(CONCATENATE("https://bte.dgcp.mtsss.gov.pt/documentos/",A293,"/",F293,"/",T293))</f>
        <v>https://bte.dgcp.mtsss.gov.pt/documentos/2026/27/00420043.pdf</v>
      </c>
    </row>
    <row r="294" spans="1:21">
      <c r="A294" s="11" t="str">
        <f t="shared" si="8"/>
        <v>2026</v>
      </c>
      <c r="B294" s="1" t="s">
        <v>1420</v>
      </c>
      <c r="C294" s="2" t="s">
        <v>1421</v>
      </c>
      <c r="D294" s="3" t="s">
        <v>288</v>
      </c>
      <c r="E294" s="3">
        <v>93</v>
      </c>
      <c r="F294" s="4" t="s">
        <v>1391</v>
      </c>
      <c r="G294" s="5">
        <v>46225</v>
      </c>
      <c r="H294" s="5">
        <v>46225</v>
      </c>
      <c r="I294" s="6"/>
      <c r="J294" s="7"/>
      <c r="K294" s="6">
        <v>27245</v>
      </c>
      <c r="N294" s="3" t="s">
        <v>1422</v>
      </c>
      <c r="Q294" s="3" t="s">
        <v>1266</v>
      </c>
      <c r="R294" s="3" t="s">
        <v>1423</v>
      </c>
      <c r="S294" s="8">
        <v>440109</v>
      </c>
      <c r="T294" s="10" t="str">
        <f t="shared" si="9"/>
        <v>00440109.pdf</v>
      </c>
      <c r="U294" s="9" t="str">
        <f>HYPERLINK(CONCATENATE("https://bte.dgcp.mtsss.gov.pt/documentos/",A294,"/",F294,"/",T294))</f>
        <v>https://bte.dgcp.mtsss.gov.pt/documentos/2026/27/00440109.pdf</v>
      </c>
    </row>
    <row r="295" spans="1:21">
      <c r="A295" s="11" t="str">
        <f t="shared" si="8"/>
        <v>2026</v>
      </c>
      <c r="B295" s="1" t="s">
        <v>1424</v>
      </c>
      <c r="C295" s="2" t="s">
        <v>1425</v>
      </c>
      <c r="D295" s="3" t="s">
        <v>271</v>
      </c>
      <c r="E295" s="3">
        <v>93</v>
      </c>
      <c r="F295" s="4" t="s">
        <v>1391</v>
      </c>
      <c r="G295" s="5">
        <v>46225</v>
      </c>
      <c r="H295" s="5">
        <v>46225</v>
      </c>
      <c r="I295" s="6"/>
      <c r="J295" s="7"/>
      <c r="K295" s="6">
        <v>26251</v>
      </c>
      <c r="L295" s="3" t="s">
        <v>1426</v>
      </c>
      <c r="N295" s="3" t="s">
        <v>229</v>
      </c>
      <c r="Q295" s="3" t="s">
        <v>1133</v>
      </c>
      <c r="R295" s="3" t="s">
        <v>1427</v>
      </c>
      <c r="S295" s="8">
        <v>1100111</v>
      </c>
      <c r="T295" s="10" t="str">
        <f t="shared" si="9"/>
        <v>01100111.pdf</v>
      </c>
      <c r="U295" s="9" t="str">
        <f>HYPERLINK(CONCATENATE("https://bte.dgcp.mtsss.gov.pt/documentos/",A295,"/",F295,"/",T295))</f>
        <v>https://bte.dgcp.mtsss.gov.pt/documentos/2026/27/01100111.pdf</v>
      </c>
    </row>
    <row r="296" spans="1:21">
      <c r="A296" s="11" t="str">
        <f t="shared" si="8"/>
        <v>2026</v>
      </c>
      <c r="B296" s="1" t="s">
        <v>1428</v>
      </c>
      <c r="C296" s="2" t="s">
        <v>1429</v>
      </c>
      <c r="D296" s="3" t="s">
        <v>271</v>
      </c>
      <c r="E296" s="3">
        <v>93</v>
      </c>
      <c r="F296" s="4" t="s">
        <v>1391</v>
      </c>
      <c r="G296" s="5">
        <v>46225</v>
      </c>
      <c r="H296" s="5">
        <v>46225</v>
      </c>
      <c r="I296" s="6"/>
      <c r="J296" s="7"/>
      <c r="K296" s="6">
        <v>25516</v>
      </c>
      <c r="L296" s="3" t="s">
        <v>1430</v>
      </c>
      <c r="N296" s="3" t="s">
        <v>501</v>
      </c>
      <c r="Q296" s="3" t="s">
        <v>1431</v>
      </c>
      <c r="R296" s="3" t="s">
        <v>1432</v>
      </c>
      <c r="S296" s="8">
        <v>1120115</v>
      </c>
      <c r="T296" s="10" t="str">
        <f t="shared" si="9"/>
        <v>01120115.pdf</v>
      </c>
      <c r="U296" s="9" t="str">
        <f>HYPERLINK(CONCATENATE("https://bte.dgcp.mtsss.gov.pt/documentos/",A296,"/",F296,"/",T296))</f>
        <v>https://bte.dgcp.mtsss.gov.pt/documentos/2026/27/01120115.pdf</v>
      </c>
    </row>
    <row r="297" spans="1:21">
      <c r="A297" s="11" t="str">
        <f t="shared" si="8"/>
        <v>2026</v>
      </c>
      <c r="B297" s="1" t="s">
        <v>1433</v>
      </c>
      <c r="C297" s="2" t="s">
        <v>1434</v>
      </c>
      <c r="D297" s="3" t="s">
        <v>271</v>
      </c>
      <c r="E297" s="3">
        <v>93</v>
      </c>
      <c r="F297" s="4" t="s">
        <v>1391</v>
      </c>
      <c r="G297" s="5">
        <v>46225</v>
      </c>
      <c r="H297" s="5">
        <v>46225</v>
      </c>
      <c r="I297" s="6"/>
      <c r="J297" s="7"/>
      <c r="K297" s="6">
        <v>26968</v>
      </c>
      <c r="N297" s="3" t="s">
        <v>860</v>
      </c>
      <c r="Q297" s="3" t="s">
        <v>861</v>
      </c>
      <c r="R297" s="3" t="s">
        <v>1435</v>
      </c>
      <c r="S297" s="8">
        <v>1160176</v>
      </c>
      <c r="T297" s="10" t="str">
        <f t="shared" si="9"/>
        <v>01160176.pdf</v>
      </c>
      <c r="U297" s="9" t="str">
        <f>HYPERLINK(CONCATENATE("https://bte.dgcp.mtsss.gov.pt/documentos/",A297,"/",F297,"/",T297))</f>
        <v>https://bte.dgcp.mtsss.gov.pt/documentos/2026/27/01160176.pdf</v>
      </c>
    </row>
    <row r="298" spans="1:21">
      <c r="A298" s="11" t="str">
        <f t="shared" si="8"/>
        <v>2026</v>
      </c>
      <c r="B298" s="1" t="s">
        <v>1436</v>
      </c>
      <c r="C298" s="2" t="s">
        <v>1437</v>
      </c>
      <c r="D298" s="3" t="s">
        <v>591</v>
      </c>
      <c r="E298" s="3">
        <v>93</v>
      </c>
      <c r="F298" s="4" t="s">
        <v>1391</v>
      </c>
      <c r="G298" s="5">
        <v>46225</v>
      </c>
      <c r="H298" s="5">
        <v>46225</v>
      </c>
      <c r="I298" s="6"/>
      <c r="J298" s="7"/>
      <c r="K298" s="6">
        <v>16697</v>
      </c>
      <c r="N298" s="3" t="s">
        <v>1438</v>
      </c>
      <c r="Q298" s="3" t="s">
        <v>1314</v>
      </c>
      <c r="R298" s="3" t="s">
        <v>1439</v>
      </c>
      <c r="S298" s="8">
        <v>1770205</v>
      </c>
      <c r="T298" s="10" t="str">
        <f t="shared" si="9"/>
        <v>01770205.pdf</v>
      </c>
      <c r="U298" s="9" t="str">
        <f>HYPERLINK(CONCATENATE("https://bte.dgcp.mtsss.gov.pt/documentos/",A298,"/",F298,"/",T298))</f>
        <v>https://bte.dgcp.mtsss.gov.pt/documentos/2026/27/01770205.pdf</v>
      </c>
    </row>
    <row r="299" spans="1:21">
      <c r="A299" s="11" t="str">
        <f t="shared" si="8"/>
        <v>2026</v>
      </c>
      <c r="B299" s="1" t="s">
        <v>1440</v>
      </c>
      <c r="C299" s="2" t="s">
        <v>1441</v>
      </c>
      <c r="D299" s="3" t="s">
        <v>591</v>
      </c>
      <c r="E299" s="3">
        <v>93</v>
      </c>
      <c r="F299" s="4" t="s">
        <v>1391</v>
      </c>
      <c r="G299" s="5">
        <v>46225</v>
      </c>
      <c r="H299" s="5">
        <v>46225</v>
      </c>
      <c r="I299" s="6"/>
      <c r="J299" s="7"/>
      <c r="K299" s="6">
        <v>16634</v>
      </c>
      <c r="L299" t="s">
        <v>1442</v>
      </c>
      <c r="N299" s="3" t="s">
        <v>1443</v>
      </c>
      <c r="Q299" s="3" t="s">
        <v>1444</v>
      </c>
      <c r="R299" s="3" t="s">
        <v>1445</v>
      </c>
      <c r="S299" s="8">
        <v>2060209</v>
      </c>
      <c r="T299" s="10" t="str">
        <f t="shared" si="9"/>
        <v>02060209.pdf</v>
      </c>
      <c r="U299" s="9" t="str">
        <f>HYPERLINK(CONCATENATE("https://bte.dgcp.mtsss.gov.pt/documentos/",A299,"/",F299,"/",T299))</f>
        <v>https://bte.dgcp.mtsss.gov.pt/documentos/2026/27/02060209.pdf</v>
      </c>
    </row>
    <row r="300" spans="1:21">
      <c r="A300" s="11" t="str">
        <f t="shared" si="8"/>
        <v>2026</v>
      </c>
      <c r="B300" s="1" t="s">
        <v>1446</v>
      </c>
      <c r="C300" s="2" t="s">
        <v>1447</v>
      </c>
      <c r="D300" s="3" t="s">
        <v>294</v>
      </c>
      <c r="E300" s="3">
        <v>93</v>
      </c>
      <c r="F300" s="4" t="s">
        <v>1391</v>
      </c>
      <c r="G300" s="5">
        <v>46225</v>
      </c>
      <c r="H300" s="5">
        <v>46225</v>
      </c>
      <c r="I300" s="6"/>
      <c r="J300" s="7"/>
      <c r="K300" s="6">
        <v>47246</v>
      </c>
      <c r="N300" s="3" t="s">
        <v>1448</v>
      </c>
      <c r="Q300" s="3" t="s">
        <v>1280</v>
      </c>
      <c r="R300" s="3" t="s">
        <v>1449</v>
      </c>
      <c r="S300" s="8">
        <v>2100221</v>
      </c>
      <c r="T300" s="10" t="str">
        <f t="shared" si="9"/>
        <v>02100221.pdf</v>
      </c>
      <c r="U300" s="9" t="str">
        <f>HYPERLINK(CONCATENATE("https://bte.dgcp.mtsss.gov.pt/documentos/",A300,"/",F300,"/",T300))</f>
        <v>https://bte.dgcp.mtsss.gov.pt/documentos/2026/27/02100221.pdf</v>
      </c>
    </row>
    <row r="301" spans="1:21">
      <c r="A301" s="11" t="str">
        <f t="shared" si="8"/>
        <v>2026</v>
      </c>
      <c r="B301" s="1" t="s">
        <v>1450</v>
      </c>
      <c r="C301" s="2" t="s">
        <v>1451</v>
      </c>
      <c r="D301" s="3" t="s">
        <v>105</v>
      </c>
      <c r="E301" s="3">
        <v>93</v>
      </c>
      <c r="F301" s="4" t="s">
        <v>1391</v>
      </c>
      <c r="G301" s="5">
        <v>46225</v>
      </c>
      <c r="H301" s="5">
        <v>46225</v>
      </c>
      <c r="I301" s="6"/>
      <c r="J301" s="7"/>
      <c r="K301" s="6">
        <v>47109</v>
      </c>
      <c r="L301" t="s">
        <v>1452</v>
      </c>
      <c r="N301" s="3" t="s">
        <v>1453</v>
      </c>
      <c r="Q301" s="3" t="s">
        <v>1454</v>
      </c>
      <c r="R301" s="3" t="s">
        <v>1455</v>
      </c>
      <c r="S301" s="8">
        <v>2220227</v>
      </c>
      <c r="T301" s="10" t="str">
        <f t="shared" si="9"/>
        <v>02220227.pdf</v>
      </c>
      <c r="U301" s="9" t="str">
        <f>HYPERLINK(CONCATENATE("https://bte.dgcp.mtsss.gov.pt/documentos/",A301,"/",F301,"/",T301))</f>
        <v>https://bte.dgcp.mtsss.gov.pt/documentos/2026/27/02220227.pdf</v>
      </c>
    </row>
    <row r="302" spans="1:21">
      <c r="A302" s="11" t="str">
        <f t="shared" si="8"/>
        <v>2026</v>
      </c>
      <c r="B302" s="1" t="s">
        <v>1456</v>
      </c>
      <c r="C302" s="2" t="s">
        <v>1457</v>
      </c>
      <c r="D302" s="3" t="s">
        <v>105</v>
      </c>
      <c r="E302" s="3">
        <v>93</v>
      </c>
      <c r="F302" s="4" t="s">
        <v>1391</v>
      </c>
      <c r="G302" s="5">
        <v>46225</v>
      </c>
      <c r="H302" s="5">
        <v>46225</v>
      </c>
      <c r="I302" s="6"/>
      <c r="J302" s="7"/>
      <c r="K302" s="6">
        <v>47126</v>
      </c>
      <c r="L302" t="s">
        <v>1458</v>
      </c>
      <c r="N302" s="3" t="s">
        <v>1459</v>
      </c>
      <c r="Q302" s="3" t="s">
        <v>1454</v>
      </c>
      <c r="R302" s="3" t="s">
        <v>1460</v>
      </c>
      <c r="S302" s="8">
        <v>2280234</v>
      </c>
      <c r="T302" s="10" t="str">
        <f t="shared" si="9"/>
        <v>02280234.pdf</v>
      </c>
      <c r="U302" s="9" t="str">
        <f>HYPERLINK(CONCATENATE("https://bte.dgcp.mtsss.gov.pt/documentos/",A302,"/",F302,"/",T302))</f>
        <v>https://bte.dgcp.mtsss.gov.pt/documentos/2026/27/02280234.pdf</v>
      </c>
    </row>
    <row r="303" spans="1:21">
      <c r="A303" s="11" t="str">
        <f t="shared" si="8"/>
        <v>2026</v>
      </c>
      <c r="B303" s="1" t="s">
        <v>1461</v>
      </c>
      <c r="C303" s="2" t="s">
        <v>1462</v>
      </c>
      <c r="D303" s="3" t="s">
        <v>105</v>
      </c>
      <c r="E303" s="3">
        <v>93</v>
      </c>
      <c r="F303" s="4" t="s">
        <v>1391</v>
      </c>
      <c r="G303" s="5">
        <v>46225</v>
      </c>
      <c r="H303" s="5">
        <v>46225</v>
      </c>
      <c r="I303" s="6"/>
      <c r="J303" s="7"/>
      <c r="K303" s="6">
        <v>47110</v>
      </c>
      <c r="L303" t="s">
        <v>1463</v>
      </c>
      <c r="N303" s="3" t="s">
        <v>1464</v>
      </c>
      <c r="Q303" s="3" t="s">
        <v>1454</v>
      </c>
      <c r="R303" s="3" t="s">
        <v>1465</v>
      </c>
      <c r="S303" s="8">
        <v>2350240</v>
      </c>
      <c r="T303" s="10" t="str">
        <f t="shared" si="9"/>
        <v>02350240.pdf</v>
      </c>
      <c r="U303" s="9" t="str">
        <f>HYPERLINK(CONCATENATE("https://bte.dgcp.mtsss.gov.pt/documentos/",A303,"/",F303,"/",T303))</f>
        <v>https://bte.dgcp.mtsss.gov.pt/documentos/2026/27/02350240.pdf</v>
      </c>
    </row>
    <row r="304" spans="1:21">
      <c r="A304" s="11" t="str">
        <f t="shared" si="8"/>
        <v>2026</v>
      </c>
      <c r="B304" s="1" t="s">
        <v>1466</v>
      </c>
      <c r="C304" s="2" t="s">
        <v>1467</v>
      </c>
      <c r="D304" s="3" t="s">
        <v>105</v>
      </c>
      <c r="E304" s="3">
        <v>93</v>
      </c>
      <c r="F304" s="4" t="s">
        <v>1391</v>
      </c>
      <c r="G304" s="5">
        <v>46225</v>
      </c>
      <c r="H304" s="5">
        <v>46225</v>
      </c>
      <c r="I304" s="6"/>
      <c r="J304" s="7"/>
      <c r="K304" s="6">
        <v>47111</v>
      </c>
      <c r="L304" t="s">
        <v>1468</v>
      </c>
      <c r="N304" s="3" t="s">
        <v>1469</v>
      </c>
      <c r="Q304" s="3" t="s">
        <v>1454</v>
      </c>
      <c r="R304" s="3" t="s">
        <v>1470</v>
      </c>
      <c r="S304" s="8">
        <v>2410246</v>
      </c>
      <c r="T304" s="10" t="str">
        <f t="shared" si="9"/>
        <v>02410246.pdf</v>
      </c>
      <c r="U304" s="9" t="str">
        <f>HYPERLINK(CONCATENATE("https://bte.dgcp.mtsss.gov.pt/documentos/",A304,"/",F304,"/",T304))</f>
        <v>https://bte.dgcp.mtsss.gov.pt/documentos/2026/27/02410246.pdf</v>
      </c>
    </row>
    <row r="305" spans="1:21">
      <c r="A305" s="11" t="str">
        <f t="shared" si="8"/>
        <v>2026</v>
      </c>
      <c r="B305" s="1" t="s">
        <v>1471</v>
      </c>
      <c r="C305" s="2" t="s">
        <v>1472</v>
      </c>
      <c r="D305" s="3" t="s">
        <v>105</v>
      </c>
      <c r="E305" s="3">
        <v>93</v>
      </c>
      <c r="F305" s="4" t="s">
        <v>1391</v>
      </c>
      <c r="G305" s="5">
        <v>46225</v>
      </c>
      <c r="H305" s="5">
        <v>46225</v>
      </c>
      <c r="I305" s="6"/>
      <c r="J305" s="7"/>
      <c r="K305" s="6">
        <v>46690</v>
      </c>
      <c r="N305" s="3" t="s">
        <v>1473</v>
      </c>
      <c r="Q305" s="3" t="s">
        <v>1474</v>
      </c>
      <c r="R305" s="3" t="s">
        <v>1475</v>
      </c>
      <c r="S305" s="8">
        <v>2470299</v>
      </c>
      <c r="T305" s="10" t="str">
        <f t="shared" si="9"/>
        <v>02470299.pdf</v>
      </c>
      <c r="U305" s="9" t="str">
        <f>HYPERLINK(CONCATENATE("https://bte.dgcp.mtsss.gov.pt/documentos/",A305,"/",F305,"/",T305))</f>
        <v>https://bte.dgcp.mtsss.gov.pt/documentos/2026/27/02470299.pdf</v>
      </c>
    </row>
    <row r="306" spans="1:21">
      <c r="A306" s="11" t="str">
        <f t="shared" si="8"/>
        <v>2026</v>
      </c>
      <c r="B306" s="1" t="s">
        <v>1476</v>
      </c>
      <c r="C306" s="2" t="s">
        <v>1477</v>
      </c>
      <c r="D306" s="3" t="s">
        <v>105</v>
      </c>
      <c r="E306" s="3">
        <v>93</v>
      </c>
      <c r="F306" s="4" t="s">
        <v>1391</v>
      </c>
      <c r="G306" s="5">
        <v>46225</v>
      </c>
      <c r="H306" s="5">
        <v>46225</v>
      </c>
      <c r="I306" s="6"/>
      <c r="J306" s="7"/>
      <c r="K306" s="6">
        <v>46691</v>
      </c>
      <c r="N306" s="3" t="s">
        <v>1478</v>
      </c>
      <c r="Q306" s="3" t="s">
        <v>1474</v>
      </c>
      <c r="R306" s="3" t="s">
        <v>1479</v>
      </c>
      <c r="S306" s="8">
        <v>3000351</v>
      </c>
      <c r="T306" s="10" t="str">
        <f t="shared" si="9"/>
        <v>03000351.pdf</v>
      </c>
      <c r="U306" s="9" t="str">
        <f>HYPERLINK(CONCATENATE("https://bte.dgcp.mtsss.gov.pt/documentos/",A306,"/",F306,"/",T306))</f>
        <v>https://bte.dgcp.mtsss.gov.pt/documentos/2026/27/03000351.pdf</v>
      </c>
    </row>
    <row r="307" spans="1:21">
      <c r="A307" s="11" t="str">
        <f t="shared" si="8"/>
        <v>2026</v>
      </c>
      <c r="B307" s="1" t="s">
        <v>1480</v>
      </c>
      <c r="C307" s="2" t="s">
        <v>1481</v>
      </c>
      <c r="D307" s="3" t="s">
        <v>105</v>
      </c>
      <c r="E307" s="3">
        <v>93</v>
      </c>
      <c r="F307" s="4" t="s">
        <v>1391</v>
      </c>
      <c r="G307" s="5">
        <v>46225</v>
      </c>
      <c r="H307" s="5">
        <v>46225</v>
      </c>
      <c r="I307" s="6"/>
      <c r="J307" s="7"/>
      <c r="K307" s="6">
        <v>46692</v>
      </c>
      <c r="N307" s="3" t="s">
        <v>1482</v>
      </c>
      <c r="Q307" s="3" t="s">
        <v>1474</v>
      </c>
      <c r="R307" s="3" t="s">
        <v>1483</v>
      </c>
      <c r="S307" s="8">
        <v>3520403</v>
      </c>
      <c r="T307" s="10" t="str">
        <f t="shared" si="9"/>
        <v>03520403.pdf</v>
      </c>
      <c r="U307" s="9" t="str">
        <f>HYPERLINK(CONCATENATE("https://bte.dgcp.mtsss.gov.pt/documentos/",A307,"/",F307,"/",T307))</f>
        <v>https://bte.dgcp.mtsss.gov.pt/documentos/2026/27/03520403.pdf</v>
      </c>
    </row>
    <row r="308" spans="1:21">
      <c r="A308" s="11" t="str">
        <f t="shared" si="8"/>
        <v>2026</v>
      </c>
      <c r="B308" s="1" t="s">
        <v>1484</v>
      </c>
      <c r="C308" s="2" t="s">
        <v>1485</v>
      </c>
      <c r="D308" s="3" t="s">
        <v>184</v>
      </c>
      <c r="E308" s="3">
        <v>93</v>
      </c>
      <c r="F308" s="4" t="s">
        <v>1391</v>
      </c>
      <c r="G308" s="5">
        <v>46225</v>
      </c>
      <c r="H308" s="5">
        <v>46225</v>
      </c>
      <c r="I308" s="6"/>
      <c r="J308" s="7"/>
      <c r="K308" s="6">
        <v>16518</v>
      </c>
      <c r="L308" t="s">
        <v>1486</v>
      </c>
      <c r="N308" s="3" t="s">
        <v>1487</v>
      </c>
      <c r="Q308" s="3" t="s">
        <v>187</v>
      </c>
      <c r="R308" s="3" t="s">
        <v>1488</v>
      </c>
      <c r="S308" s="8">
        <v>4040405</v>
      </c>
      <c r="T308" s="10" t="str">
        <f t="shared" si="9"/>
        <v>04040405.pdf</v>
      </c>
      <c r="U308" s="9" t="str">
        <f>HYPERLINK(CONCATENATE("https://bte.dgcp.mtsss.gov.pt/documentos/",A308,"/",F308,"/",T308))</f>
        <v>https://bte.dgcp.mtsss.gov.pt/documentos/2026/27/04040405.pdf</v>
      </c>
    </row>
    <row r="309" spans="1:21">
      <c r="A309" s="11" t="str">
        <f t="shared" si="8"/>
        <v>2026</v>
      </c>
      <c r="B309" s="1" t="s">
        <v>1489</v>
      </c>
      <c r="C309" s="2" t="s">
        <v>1490</v>
      </c>
      <c r="D309" s="3" t="s">
        <v>1491</v>
      </c>
      <c r="E309" s="3">
        <v>93</v>
      </c>
      <c r="F309" s="4" t="s">
        <v>1391</v>
      </c>
      <c r="G309" s="5">
        <v>46225</v>
      </c>
      <c r="H309" s="5">
        <v>46225</v>
      </c>
      <c r="I309" s="6"/>
      <c r="J309" s="7"/>
      <c r="K309" s="6">
        <v>25859</v>
      </c>
      <c r="L309" t="s">
        <v>1492</v>
      </c>
      <c r="N309" s="3" t="s">
        <v>1493</v>
      </c>
      <c r="Q309" s="3" t="s">
        <v>1494</v>
      </c>
      <c r="S309" s="8">
        <v>4060406</v>
      </c>
      <c r="T309" s="10" t="str">
        <f t="shared" si="9"/>
        <v>04060406.pdf</v>
      </c>
      <c r="U309" s="9" t="str">
        <f>HYPERLINK(CONCATENATE("https://bte.dgcp.mtsss.gov.pt/documentos/",A309,"/",F309,"/",T309))</f>
        <v>https://bte.dgcp.mtsss.gov.pt/documentos/2026/27/04060406.pdf</v>
      </c>
    </row>
    <row r="310" spans="1:21">
      <c r="A310" s="11" t="str">
        <f t="shared" si="8"/>
        <v>2026</v>
      </c>
      <c r="B310" s="1" t="s">
        <v>1495</v>
      </c>
      <c r="C310" s="2" t="s">
        <v>1496</v>
      </c>
      <c r="D310" s="3" t="s">
        <v>1491</v>
      </c>
      <c r="E310" s="3">
        <v>93</v>
      </c>
      <c r="F310" s="4" t="s">
        <v>1391</v>
      </c>
      <c r="G310" s="5">
        <v>46225</v>
      </c>
      <c r="H310" s="5">
        <v>46225</v>
      </c>
      <c r="I310" s="6"/>
      <c r="J310" s="7"/>
      <c r="K310" s="6">
        <v>25858</v>
      </c>
      <c r="L310" t="s">
        <v>1497</v>
      </c>
      <c r="N310" s="3" t="s">
        <v>1498</v>
      </c>
      <c r="Q310" s="3" t="s">
        <v>1494</v>
      </c>
      <c r="S310" s="8">
        <v>4070407</v>
      </c>
      <c r="T310" s="10" t="str">
        <f t="shared" si="9"/>
        <v>04070407.pdf</v>
      </c>
      <c r="U310" s="9" t="str">
        <f>HYPERLINK(CONCATENATE("https://bte.dgcp.mtsss.gov.pt/documentos/",A310,"/",F310,"/",T310))</f>
        <v>https://bte.dgcp.mtsss.gov.pt/documentos/2026/27/04070407.pdf</v>
      </c>
    </row>
    <row r="311" spans="1:21">
      <c r="A311" s="11" t="str">
        <f t="shared" si="8"/>
        <v>2026</v>
      </c>
      <c r="B311" s="1" t="s">
        <v>1499</v>
      </c>
      <c r="C311" s="2" t="s">
        <v>1500</v>
      </c>
      <c r="D311" s="3" t="s">
        <v>1501</v>
      </c>
      <c r="E311" s="3">
        <v>93</v>
      </c>
      <c r="F311" s="4" t="s">
        <v>1502</v>
      </c>
      <c r="G311" s="5">
        <v>46232</v>
      </c>
      <c r="H311" s="5">
        <v>46232</v>
      </c>
      <c r="I311" s="6"/>
      <c r="J311" s="7"/>
      <c r="K311" s="6">
        <v>30350</v>
      </c>
      <c r="L311" t="s">
        <v>1503</v>
      </c>
      <c r="N311" s="3" t="s">
        <v>1504</v>
      </c>
      <c r="Q311" t="s">
        <v>1505</v>
      </c>
      <c r="S311" s="8">
        <v>250039</v>
      </c>
      <c r="T311" s="10" t="str">
        <f t="shared" si="9"/>
        <v>00250039.pdf</v>
      </c>
      <c r="U311" s="9" t="str">
        <f>HYPERLINK(CONCATENATE("https://bte.dgcp.mtsss.gov.pt/documentos/",A311,"/",F311,"/",T311))</f>
        <v>https://bte.dgcp.mtsss.gov.pt/documentos/2026/28/00250039.pdf</v>
      </c>
    </row>
    <row r="312" spans="1:21">
      <c r="A312" s="11" t="str">
        <f t="shared" si="8"/>
        <v>2026</v>
      </c>
      <c r="B312" s="1" t="s">
        <v>1506</v>
      </c>
      <c r="C312" s="2" t="s">
        <v>1507</v>
      </c>
      <c r="D312" s="3" t="s">
        <v>23</v>
      </c>
      <c r="E312" s="3">
        <v>93</v>
      </c>
      <c r="F312" s="4" t="s">
        <v>1502</v>
      </c>
      <c r="G312" s="5">
        <v>46232</v>
      </c>
      <c r="H312" s="5">
        <v>46232</v>
      </c>
      <c r="I312" s="6"/>
      <c r="J312" s="7"/>
      <c r="K312" s="6">
        <v>27219</v>
      </c>
      <c r="L312" t="s">
        <v>1508</v>
      </c>
      <c r="N312" s="3" t="s">
        <v>1509</v>
      </c>
      <c r="Q312" t="s">
        <v>559</v>
      </c>
      <c r="S312" s="8">
        <v>400041</v>
      </c>
      <c r="T312" s="10" t="str">
        <f t="shared" si="9"/>
        <v>00400041.pdf</v>
      </c>
      <c r="U312" s="9" t="str">
        <f>HYPERLINK(CONCATENATE("https://bte.dgcp.mtsss.gov.pt/documentos/",A312,"/",F312,"/",T312))</f>
        <v>https://bte.dgcp.mtsss.gov.pt/documentos/2026/28/00400041.pdf</v>
      </c>
    </row>
    <row r="313" spans="1:21">
      <c r="A313" s="11" t="str">
        <f t="shared" si="8"/>
        <v>2026</v>
      </c>
      <c r="B313" s="1" t="s">
        <v>1510</v>
      </c>
      <c r="C313" s="2" t="s">
        <v>1511</v>
      </c>
      <c r="D313" s="3" t="s">
        <v>271</v>
      </c>
      <c r="E313" s="3">
        <v>93</v>
      </c>
      <c r="F313" s="4" t="s">
        <v>1502</v>
      </c>
      <c r="G313" s="5">
        <v>46232</v>
      </c>
      <c r="H313" s="5">
        <v>46232</v>
      </c>
      <c r="I313" s="6"/>
      <c r="J313" s="7"/>
      <c r="K313" s="6">
        <v>26933</v>
      </c>
      <c r="N313" s="3" t="s">
        <v>145</v>
      </c>
      <c r="Q313" t="s">
        <v>146</v>
      </c>
      <c r="R313" t="s">
        <v>1512</v>
      </c>
      <c r="S313" s="8">
        <v>420061</v>
      </c>
      <c r="T313" s="10" t="str">
        <f t="shared" si="9"/>
        <v>00420061.pdf</v>
      </c>
      <c r="U313" s="9" t="str">
        <f>HYPERLINK(CONCATENATE("https://bte.dgcp.mtsss.gov.pt/documentos/",A313,"/",F313,"/",T313))</f>
        <v>https://bte.dgcp.mtsss.gov.pt/documentos/2026/28/00420061.pdf</v>
      </c>
    </row>
    <row r="314" spans="1:21">
      <c r="A314" s="11" t="str">
        <f t="shared" si="8"/>
        <v>2026</v>
      </c>
      <c r="B314" s="1" t="s">
        <v>1513</v>
      </c>
      <c r="C314" s="2" t="s">
        <v>1514</v>
      </c>
      <c r="D314" s="3" t="s">
        <v>271</v>
      </c>
      <c r="E314" s="3">
        <v>93</v>
      </c>
      <c r="F314" s="4" t="s">
        <v>1502</v>
      </c>
      <c r="G314" s="5">
        <v>46232</v>
      </c>
      <c r="H314" s="5">
        <v>46232</v>
      </c>
      <c r="I314" s="6"/>
      <c r="J314" s="7"/>
      <c r="K314" s="6">
        <v>26667</v>
      </c>
      <c r="L314" t="s">
        <v>1515</v>
      </c>
      <c r="N314" s="3" t="s">
        <v>262</v>
      </c>
      <c r="Q314" t="s">
        <v>1516</v>
      </c>
      <c r="R314" t="s">
        <v>1517</v>
      </c>
      <c r="S314" s="8">
        <v>620064</v>
      </c>
      <c r="T314" s="10" t="str">
        <f t="shared" si="9"/>
        <v>00620064.pdf</v>
      </c>
      <c r="U314" s="9" t="str">
        <f>HYPERLINK(CONCATENATE("https://bte.dgcp.mtsss.gov.pt/documentos/",A314,"/",F314,"/",T314))</f>
        <v>https://bte.dgcp.mtsss.gov.pt/documentos/2026/28/00620064.pdf</v>
      </c>
    </row>
    <row r="315" spans="1:21">
      <c r="A315" s="11" t="str">
        <f t="shared" si="8"/>
        <v>2026</v>
      </c>
      <c r="B315" s="1" t="s">
        <v>1518</v>
      </c>
      <c r="C315" s="2" t="s">
        <v>1519</v>
      </c>
      <c r="D315" s="3" t="s">
        <v>105</v>
      </c>
      <c r="E315" s="3">
        <v>93</v>
      </c>
      <c r="F315" s="4" t="s">
        <v>1502</v>
      </c>
      <c r="G315" s="5">
        <v>46232</v>
      </c>
      <c r="H315" s="5">
        <v>46232</v>
      </c>
      <c r="I315" s="6"/>
      <c r="J315" s="7"/>
      <c r="K315" s="6">
        <v>46280</v>
      </c>
      <c r="L315" t="s">
        <v>1520</v>
      </c>
      <c r="N315" s="3" t="s">
        <v>1521</v>
      </c>
      <c r="Q315" t="s">
        <v>1522</v>
      </c>
      <c r="R315" t="s">
        <v>1523</v>
      </c>
      <c r="S315" s="8">
        <v>650071</v>
      </c>
      <c r="T315" s="10" t="str">
        <f t="shared" si="9"/>
        <v>00650071.pdf</v>
      </c>
      <c r="U315" s="9" t="str">
        <f>HYPERLINK(CONCATENATE("https://bte.dgcp.mtsss.gov.pt/documentos/",A315,"/",F315,"/",T315))</f>
        <v>https://bte.dgcp.mtsss.gov.pt/documentos/2026/28/00650071.pdf</v>
      </c>
    </row>
    <row r="316" spans="1:21">
      <c r="A316" s="11" t="str">
        <f t="shared" si="8"/>
        <v>2026</v>
      </c>
      <c r="B316" s="1" t="s">
        <v>1524</v>
      </c>
      <c r="C316" s="2" t="s">
        <v>1525</v>
      </c>
      <c r="D316" s="3" t="s">
        <v>105</v>
      </c>
      <c r="E316" s="3">
        <v>93</v>
      </c>
      <c r="F316" s="4" t="s">
        <v>1502</v>
      </c>
      <c r="G316" s="5">
        <v>46232</v>
      </c>
      <c r="H316" s="5">
        <v>46232</v>
      </c>
      <c r="I316" s="6"/>
      <c r="J316" s="7"/>
      <c r="K316" s="6">
        <v>47082</v>
      </c>
      <c r="L316" t="s">
        <v>1526</v>
      </c>
      <c r="N316" s="3" t="s">
        <v>1527</v>
      </c>
      <c r="Q316" t="s">
        <v>1528</v>
      </c>
      <c r="R316" t="s">
        <v>1529</v>
      </c>
      <c r="S316" s="8">
        <v>720075</v>
      </c>
      <c r="T316" s="10" t="str">
        <f t="shared" si="9"/>
        <v>00720075.pdf</v>
      </c>
      <c r="U316" s="9" t="str">
        <f>HYPERLINK(CONCATENATE("https://bte.dgcp.mtsss.gov.pt/documentos/",A316,"/",F316,"/",T316))</f>
        <v>https://bte.dgcp.mtsss.gov.pt/documentos/2026/28/00720075.pdf</v>
      </c>
    </row>
    <row r="317" spans="1:21">
      <c r="A317" s="11" t="str">
        <f t="shared" si="8"/>
        <v>2026</v>
      </c>
      <c r="B317" s="1" t="s">
        <v>1530</v>
      </c>
      <c r="C317" s="2" t="s">
        <v>1531</v>
      </c>
      <c r="D317" s="3" t="s">
        <v>105</v>
      </c>
      <c r="E317" s="3">
        <v>93</v>
      </c>
      <c r="F317" s="4" t="s">
        <v>1502</v>
      </c>
      <c r="G317" s="5">
        <v>46232</v>
      </c>
      <c r="H317" s="5">
        <v>46232</v>
      </c>
      <c r="I317" s="6"/>
      <c r="J317" s="7"/>
      <c r="K317" s="6">
        <v>46739</v>
      </c>
      <c r="L317" t="s">
        <v>1532</v>
      </c>
      <c r="N317" s="3" t="s">
        <v>1533</v>
      </c>
      <c r="Q317" t="s">
        <v>1534</v>
      </c>
      <c r="R317" t="s">
        <v>1535</v>
      </c>
      <c r="S317" s="8">
        <v>760078</v>
      </c>
      <c r="T317" s="10" t="str">
        <f t="shared" si="9"/>
        <v>00760078.pdf</v>
      </c>
      <c r="U317" s="9" t="str">
        <f>HYPERLINK(CONCATENATE("https://bte.dgcp.mtsss.gov.pt/documentos/",A317,"/",F317,"/",T317))</f>
        <v>https://bte.dgcp.mtsss.gov.pt/documentos/2026/28/00760078.pdf</v>
      </c>
    </row>
    <row r="318" spans="1:21">
      <c r="A318" s="11" t="str">
        <f t="shared" si="8"/>
        <v>2026</v>
      </c>
      <c r="B318" s="1" t="s">
        <v>1536</v>
      </c>
      <c r="C318" s="2" t="s">
        <v>1537</v>
      </c>
      <c r="D318" s="3" t="s">
        <v>105</v>
      </c>
      <c r="E318" s="3">
        <v>93</v>
      </c>
      <c r="F318" s="4" t="s">
        <v>1502</v>
      </c>
      <c r="G318" s="5">
        <v>46232</v>
      </c>
      <c r="H318" s="5">
        <v>46232</v>
      </c>
      <c r="I318" s="6"/>
      <c r="J318" s="7"/>
      <c r="K318" s="6">
        <v>47177</v>
      </c>
      <c r="L318" t="s">
        <v>1538</v>
      </c>
      <c r="N318" s="3" t="s">
        <v>1539</v>
      </c>
      <c r="Q318" t="s">
        <v>1534</v>
      </c>
      <c r="R318" t="s">
        <v>1540</v>
      </c>
      <c r="S318" s="8">
        <v>790081</v>
      </c>
      <c r="T318" s="10" t="str">
        <f t="shared" si="9"/>
        <v>00790081.pdf</v>
      </c>
      <c r="U318" s="9" t="str">
        <f>HYPERLINK(CONCATENATE("https://bte.dgcp.mtsss.gov.pt/documentos/",A318,"/",F318,"/",T318))</f>
        <v>https://bte.dgcp.mtsss.gov.pt/documentos/2026/28/00790081.pdf</v>
      </c>
    </row>
    <row r="319" spans="1:21">
      <c r="A319" s="11" t="str">
        <f t="shared" si="8"/>
        <v>2026</v>
      </c>
      <c r="B319" s="1" t="s">
        <v>1541</v>
      </c>
      <c r="C319" s="2" t="s">
        <v>1542</v>
      </c>
      <c r="D319" s="3" t="s">
        <v>105</v>
      </c>
      <c r="E319" s="3">
        <v>93</v>
      </c>
      <c r="F319" s="4" t="s">
        <v>1502</v>
      </c>
      <c r="G319" s="5">
        <v>46232</v>
      </c>
      <c r="H319" s="5">
        <v>46232</v>
      </c>
      <c r="I319" s="6"/>
      <c r="J319" s="7"/>
      <c r="K319" s="6">
        <v>46736</v>
      </c>
      <c r="L319" t="s">
        <v>1543</v>
      </c>
      <c r="N319" s="3" t="s">
        <v>1544</v>
      </c>
      <c r="Q319" t="s">
        <v>1534</v>
      </c>
      <c r="R319" t="s">
        <v>1545</v>
      </c>
      <c r="S319" s="8">
        <v>820084</v>
      </c>
      <c r="T319" s="10" t="str">
        <f t="shared" si="9"/>
        <v>00820084.pdf</v>
      </c>
      <c r="U319" s="9" t="str">
        <f>HYPERLINK(CONCATENATE("https://bte.dgcp.mtsss.gov.pt/documentos/",A319,"/",F319,"/",T319))</f>
        <v>https://bte.dgcp.mtsss.gov.pt/documentos/2026/28/00820084.pdf</v>
      </c>
    </row>
    <row r="320" spans="1:21">
      <c r="A320" s="11" t="str">
        <f t="shared" si="8"/>
        <v>2026</v>
      </c>
      <c r="B320" s="1" t="s">
        <v>1546</v>
      </c>
      <c r="C320" s="2" t="s">
        <v>1547</v>
      </c>
      <c r="D320" s="3" t="s">
        <v>105</v>
      </c>
      <c r="E320" s="3">
        <v>93</v>
      </c>
      <c r="F320" s="4" t="s">
        <v>1502</v>
      </c>
      <c r="G320" s="5">
        <v>46232</v>
      </c>
      <c r="H320" s="5">
        <v>46232</v>
      </c>
      <c r="I320" s="6"/>
      <c r="J320" s="7"/>
      <c r="K320" s="6">
        <v>46962</v>
      </c>
      <c r="L320" t="s">
        <v>1548</v>
      </c>
      <c r="N320" s="3" t="s">
        <v>1549</v>
      </c>
      <c r="Q320" t="s">
        <v>1534</v>
      </c>
      <c r="R320" t="s">
        <v>1550</v>
      </c>
      <c r="S320" s="8">
        <v>850087</v>
      </c>
      <c r="T320" s="10" t="str">
        <f t="shared" si="9"/>
        <v>00850087.pdf</v>
      </c>
      <c r="U320" s="9" t="str">
        <f>HYPERLINK(CONCATENATE("https://bte.dgcp.mtsss.gov.pt/documentos/",A320,"/",F320,"/",T320))</f>
        <v>https://bte.dgcp.mtsss.gov.pt/documentos/2026/28/00850087.pdf</v>
      </c>
    </row>
    <row r="321" spans="1:21">
      <c r="A321" s="11" t="str">
        <f t="shared" si="8"/>
        <v>2026</v>
      </c>
      <c r="B321" s="1" t="s">
        <v>1551</v>
      </c>
      <c r="C321" s="2" t="s">
        <v>1552</v>
      </c>
      <c r="D321" s="3" t="s">
        <v>105</v>
      </c>
      <c r="E321" s="3">
        <v>93</v>
      </c>
      <c r="F321" s="4" t="s">
        <v>1502</v>
      </c>
      <c r="G321" s="5">
        <v>46232</v>
      </c>
      <c r="H321" s="5">
        <v>46232</v>
      </c>
      <c r="I321" s="6"/>
      <c r="J321" s="7"/>
      <c r="K321" s="6">
        <v>46737</v>
      </c>
      <c r="N321" s="3" t="s">
        <v>1553</v>
      </c>
      <c r="Q321" t="s">
        <v>1280</v>
      </c>
      <c r="R321" t="s">
        <v>1554</v>
      </c>
      <c r="S321" s="8">
        <v>880138</v>
      </c>
      <c r="T321" s="10" t="str">
        <f t="shared" si="9"/>
        <v>00880138.pdf</v>
      </c>
      <c r="U321" s="9" t="str">
        <f>HYPERLINK(CONCATENATE("https://bte.dgcp.mtsss.gov.pt/documentos/",A321,"/",F321,"/",T321))</f>
        <v>https://bte.dgcp.mtsss.gov.pt/documentos/2026/28/00880138.pdf</v>
      </c>
    </row>
    <row r="322" spans="1:21">
      <c r="A322" s="11" t="str">
        <f t="shared" ref="A322:A385" si="10">RIGHT(B322,4)</f>
        <v>2026</v>
      </c>
      <c r="B322" s="1" t="s">
        <v>1555</v>
      </c>
      <c r="C322" s="2" t="s">
        <v>1556</v>
      </c>
      <c r="D322" s="3" t="s">
        <v>105</v>
      </c>
      <c r="E322" s="3">
        <v>93</v>
      </c>
      <c r="F322" s="4" t="s">
        <v>1502</v>
      </c>
      <c r="G322" s="5">
        <v>46232</v>
      </c>
      <c r="H322" s="5">
        <v>46232</v>
      </c>
      <c r="I322" s="6"/>
      <c r="J322" s="7"/>
      <c r="K322" s="6">
        <v>47020</v>
      </c>
      <c r="L322" t="s">
        <v>1557</v>
      </c>
      <c r="N322" s="3" t="s">
        <v>1558</v>
      </c>
      <c r="Q322" t="s">
        <v>1559</v>
      </c>
      <c r="R322" t="s">
        <v>1560</v>
      </c>
      <c r="S322" s="8">
        <v>1390142</v>
      </c>
      <c r="T322" s="10" t="str">
        <f t="shared" ref="T322:T385" si="11">TEXT(S322, "00000000") &amp; ".pdf"</f>
        <v>01390142.pdf</v>
      </c>
      <c r="U322" s="9" t="str">
        <f>HYPERLINK(CONCATENATE("https://bte.dgcp.mtsss.gov.pt/documentos/",A322,"/",F322,"/",T322))</f>
        <v>https://bte.dgcp.mtsss.gov.pt/documentos/2026/28/01390142.pdf</v>
      </c>
    </row>
    <row r="323" spans="1:21">
      <c r="A323" s="11" t="str">
        <f t="shared" si="10"/>
        <v>2026</v>
      </c>
      <c r="B323" s="1" t="s">
        <v>1561</v>
      </c>
      <c r="C323" s="2" t="s">
        <v>1562</v>
      </c>
      <c r="D323" s="3" t="s">
        <v>1329</v>
      </c>
      <c r="E323" s="3">
        <v>93</v>
      </c>
      <c r="F323" s="4" t="s">
        <v>1502</v>
      </c>
      <c r="G323" s="5">
        <v>46232</v>
      </c>
      <c r="H323" s="5">
        <v>46232</v>
      </c>
      <c r="I323" s="6"/>
      <c r="J323" s="7"/>
      <c r="K323" s="6">
        <v>26760</v>
      </c>
      <c r="L323" t="s">
        <v>1563</v>
      </c>
      <c r="N323" s="3" t="s">
        <v>1564</v>
      </c>
      <c r="Q323" t="s">
        <v>580</v>
      </c>
      <c r="S323" s="8">
        <v>1430144</v>
      </c>
      <c r="T323" s="10" t="str">
        <f t="shared" si="11"/>
        <v>01430144.pdf</v>
      </c>
      <c r="U323" s="9" t="str">
        <f>HYPERLINK(CONCATENATE("https://bte.dgcp.mtsss.gov.pt/documentos/",A323,"/",F323,"/",T323))</f>
        <v>https://bte.dgcp.mtsss.gov.pt/documentos/2026/28/01430144.pdf</v>
      </c>
    </row>
    <row r="324" spans="1:21">
      <c r="A324" s="11" t="str">
        <f t="shared" si="10"/>
        <v>2026</v>
      </c>
      <c r="B324" s="1" t="s">
        <v>1565</v>
      </c>
      <c r="C324" s="2" t="s">
        <v>1566</v>
      </c>
      <c r="D324" s="3" t="s">
        <v>1567</v>
      </c>
      <c r="E324" s="3">
        <v>93</v>
      </c>
      <c r="F324" s="4" t="s">
        <v>1502</v>
      </c>
      <c r="G324" s="5">
        <v>46232</v>
      </c>
      <c r="H324" s="5">
        <v>46232</v>
      </c>
      <c r="I324" s="6"/>
      <c r="J324" s="7"/>
      <c r="K324" s="6">
        <v>46278</v>
      </c>
      <c r="L324" t="s">
        <v>1568</v>
      </c>
      <c r="N324" s="3" t="s">
        <v>1569</v>
      </c>
      <c r="Q324" t="s">
        <v>1570</v>
      </c>
      <c r="S324" s="8">
        <v>1450175</v>
      </c>
      <c r="T324" s="10" t="str">
        <f t="shared" si="11"/>
        <v>01450175.pdf</v>
      </c>
      <c r="U324" s="9" t="str">
        <f>HYPERLINK(CONCATENATE("https://bte.dgcp.mtsss.gov.pt/documentos/",A324,"/",F324,"/",T324))</f>
        <v>https://bte.dgcp.mtsss.gov.pt/documentos/2026/28/01450175.pdf</v>
      </c>
    </row>
    <row r="325" spans="1:21">
      <c r="A325" s="11" t="str">
        <f t="shared" si="10"/>
        <v>2026</v>
      </c>
      <c r="B325" s="1" t="s">
        <v>1571</v>
      </c>
      <c r="C325" s="2" t="s">
        <v>1572</v>
      </c>
      <c r="D325" s="3" t="s">
        <v>99</v>
      </c>
      <c r="E325" s="3">
        <v>93</v>
      </c>
      <c r="F325" s="4" t="s">
        <v>1573</v>
      </c>
      <c r="G325" s="5">
        <v>46242</v>
      </c>
      <c r="H325" s="5">
        <v>46244</v>
      </c>
      <c r="I325" s="6"/>
      <c r="J325" s="7"/>
      <c r="K325" s="6"/>
      <c r="N325" s="3"/>
      <c r="Q325" s="3" t="s">
        <v>193</v>
      </c>
      <c r="R325" s="3" t="s">
        <v>1574</v>
      </c>
      <c r="S325" s="8">
        <v>60021</v>
      </c>
      <c r="T325" s="10" t="str">
        <f t="shared" si="11"/>
        <v>00060021.pdf</v>
      </c>
      <c r="U325" s="9" t="str">
        <f>HYPERLINK(CONCATENATE("https://bte.dgcp.mtsss.gov.pt/documentos/",A325,"/",F325,"/",T325))</f>
        <v>https://bte.dgcp.mtsss.gov.pt/documentos/2026/29/00060021.pdf</v>
      </c>
    </row>
    <row r="326" spans="1:21">
      <c r="A326" s="11" t="str">
        <f t="shared" si="10"/>
        <v>2026</v>
      </c>
      <c r="B326" s="1" t="s">
        <v>1575</v>
      </c>
      <c r="C326" s="2" t="s">
        <v>1576</v>
      </c>
      <c r="D326" s="3" t="s">
        <v>222</v>
      </c>
      <c r="E326" s="3">
        <v>93</v>
      </c>
      <c r="F326" s="4" t="s">
        <v>1573</v>
      </c>
      <c r="G326" s="5">
        <v>46242</v>
      </c>
      <c r="H326" s="5">
        <v>46244</v>
      </c>
      <c r="I326" s="6"/>
      <c r="J326" s="7"/>
      <c r="K326" s="6"/>
      <c r="L326" s="3" t="s">
        <v>1577</v>
      </c>
      <c r="N326" s="3" t="s">
        <v>1577</v>
      </c>
      <c r="Q326" s="3" t="s">
        <v>1578</v>
      </c>
      <c r="R326" s="3" t="s">
        <v>1579</v>
      </c>
      <c r="S326" s="8">
        <v>220023</v>
      </c>
      <c r="T326" s="10" t="str">
        <f t="shared" si="11"/>
        <v>00220023.pdf</v>
      </c>
      <c r="U326" s="9" t="str">
        <f>HYPERLINK(CONCATENATE("https://bte.dgcp.mtsss.gov.pt/documentos/",A326,"/",F326,"/",T326))</f>
        <v>https://bte.dgcp.mtsss.gov.pt/documentos/2026/29/00220023.pdf</v>
      </c>
    </row>
    <row r="327" spans="1:21">
      <c r="A327" s="11" t="str">
        <f t="shared" si="10"/>
        <v>2026</v>
      </c>
      <c r="B327" s="1" t="s">
        <v>1580</v>
      </c>
      <c r="C327" s="2" t="s">
        <v>1581</v>
      </c>
      <c r="D327" s="3" t="s">
        <v>23</v>
      </c>
      <c r="E327" s="3">
        <v>93</v>
      </c>
      <c r="F327" s="4" t="s">
        <v>1573</v>
      </c>
      <c r="G327" s="5">
        <v>46242</v>
      </c>
      <c r="H327" s="5">
        <v>46244</v>
      </c>
      <c r="I327" s="6"/>
      <c r="J327" s="7"/>
      <c r="K327" s="6">
        <v>27213</v>
      </c>
      <c r="L327" t="s">
        <v>1582</v>
      </c>
      <c r="N327" s="3" t="s">
        <v>1583</v>
      </c>
      <c r="Q327" t="s">
        <v>476</v>
      </c>
      <c r="S327" s="8">
        <v>300032</v>
      </c>
      <c r="T327" s="10" t="str">
        <f t="shared" si="11"/>
        <v>00300032.pdf</v>
      </c>
      <c r="U327" s="9" t="str">
        <f>HYPERLINK(CONCATENATE("https://bte.dgcp.mtsss.gov.pt/documentos/",A327,"/",F327,"/",T327))</f>
        <v>https://bte.dgcp.mtsss.gov.pt/documentos/2026/29/00300032.pdf</v>
      </c>
    </row>
    <row r="328" spans="1:21">
      <c r="A328" s="11" t="str">
        <f t="shared" si="10"/>
        <v>2026</v>
      </c>
      <c r="B328" s="1" t="s">
        <v>1584</v>
      </c>
      <c r="C328" s="2" t="s">
        <v>1585</v>
      </c>
      <c r="D328" s="3" t="s">
        <v>288</v>
      </c>
      <c r="E328" s="3">
        <v>93</v>
      </c>
      <c r="F328" s="4" t="s">
        <v>1573</v>
      </c>
      <c r="G328" s="5">
        <v>46242</v>
      </c>
      <c r="H328" s="5">
        <v>46244</v>
      </c>
      <c r="I328" s="6"/>
      <c r="J328" s="7"/>
      <c r="K328" s="6">
        <v>27247</v>
      </c>
      <c r="N328" s="3"/>
      <c r="Q328" t="s">
        <v>1586</v>
      </c>
      <c r="R328" t="s">
        <v>1587</v>
      </c>
      <c r="S328" s="8">
        <v>330056</v>
      </c>
      <c r="T328" s="10" t="str">
        <f t="shared" si="11"/>
        <v>00330056.pdf</v>
      </c>
      <c r="U328" s="9" t="str">
        <f>HYPERLINK(CONCATENATE("https://bte.dgcp.mtsss.gov.pt/documentos/",A328,"/",F328,"/",T328))</f>
        <v>https://bte.dgcp.mtsss.gov.pt/documentos/2026/29/00330056.pdf</v>
      </c>
    </row>
    <row r="329" spans="1:21">
      <c r="A329" s="11" t="str">
        <f t="shared" si="10"/>
        <v>2026</v>
      </c>
      <c r="B329" s="1" t="s">
        <v>1588</v>
      </c>
      <c r="C329" s="2" t="s">
        <v>1589</v>
      </c>
      <c r="D329" s="3" t="s">
        <v>271</v>
      </c>
      <c r="E329" s="3">
        <v>93</v>
      </c>
      <c r="F329" s="4" t="s">
        <v>1573</v>
      </c>
      <c r="G329" s="5">
        <v>46242</v>
      </c>
      <c r="H329" s="5">
        <v>46244</v>
      </c>
      <c r="I329" s="6"/>
      <c r="J329" s="7"/>
      <c r="K329" s="6">
        <v>26752</v>
      </c>
      <c r="L329" t="s">
        <v>1590</v>
      </c>
      <c r="N329" s="3" t="s">
        <v>579</v>
      </c>
      <c r="Q329" t="s">
        <v>1591</v>
      </c>
      <c r="R329" t="s">
        <v>1592</v>
      </c>
      <c r="S329" s="8">
        <v>570066</v>
      </c>
      <c r="T329" s="10" t="str">
        <f t="shared" si="11"/>
        <v>00570066.pdf</v>
      </c>
      <c r="U329" s="9" t="str">
        <f>HYPERLINK(CONCATENATE("https://bte.dgcp.mtsss.gov.pt/documentos/",A329,"/",F329,"/",T329))</f>
        <v>https://bte.dgcp.mtsss.gov.pt/documentos/2026/29/00570066.pdf</v>
      </c>
    </row>
    <row r="330" spans="1:21">
      <c r="A330" s="11" t="str">
        <f t="shared" si="10"/>
        <v>2026</v>
      </c>
      <c r="B330" s="1" t="s">
        <v>1593</v>
      </c>
      <c r="C330" s="2" t="s">
        <v>1594</v>
      </c>
      <c r="D330" s="3" t="s">
        <v>271</v>
      </c>
      <c r="E330" s="3">
        <v>93</v>
      </c>
      <c r="F330" s="4" t="s">
        <v>1573</v>
      </c>
      <c r="G330" s="5">
        <v>46242</v>
      </c>
      <c r="H330" s="5">
        <v>46244</v>
      </c>
      <c r="I330" s="6"/>
      <c r="J330" s="7"/>
      <c r="K330" s="6">
        <v>27166</v>
      </c>
      <c r="L330" t="s">
        <v>1595</v>
      </c>
      <c r="N330" s="3" t="s">
        <v>311</v>
      </c>
      <c r="Q330" t="s">
        <v>1596</v>
      </c>
      <c r="R330" t="s">
        <v>1597</v>
      </c>
      <c r="S330" s="8">
        <v>670070</v>
      </c>
      <c r="T330" s="10" t="str">
        <f t="shared" si="11"/>
        <v>00670070.pdf</v>
      </c>
      <c r="U330" s="9" t="str">
        <f>HYPERLINK(CONCATENATE("https://bte.dgcp.mtsss.gov.pt/documentos/",A330,"/",F330,"/",T330))</f>
        <v>https://bte.dgcp.mtsss.gov.pt/documentos/2026/29/00670070.pdf</v>
      </c>
    </row>
    <row r="331" spans="1:21">
      <c r="A331" s="11" t="str">
        <f t="shared" si="10"/>
        <v>2026</v>
      </c>
      <c r="B331" s="1" t="s">
        <v>1598</v>
      </c>
      <c r="C331" s="2" t="s">
        <v>1599</v>
      </c>
      <c r="D331" s="3" t="s">
        <v>271</v>
      </c>
      <c r="E331" s="3">
        <v>93</v>
      </c>
      <c r="F331" s="4" t="s">
        <v>1573</v>
      </c>
      <c r="G331" s="5">
        <v>46242</v>
      </c>
      <c r="H331" s="5">
        <v>46244</v>
      </c>
      <c r="I331" s="6"/>
      <c r="J331" s="7"/>
      <c r="K331" s="6">
        <v>25993</v>
      </c>
      <c r="L331" t="s">
        <v>1600</v>
      </c>
      <c r="N331" s="3" t="s">
        <v>1601</v>
      </c>
      <c r="Q331" t="s">
        <v>1602</v>
      </c>
      <c r="R331" t="s">
        <v>1603</v>
      </c>
      <c r="S331" s="8">
        <v>710086</v>
      </c>
      <c r="T331" s="10" t="str">
        <f t="shared" si="11"/>
        <v>00710086.pdf</v>
      </c>
      <c r="U331" s="9" t="str">
        <f>HYPERLINK(CONCATENATE("https://bte.dgcp.mtsss.gov.pt/documentos/",A331,"/",F331,"/",T331))</f>
        <v>https://bte.dgcp.mtsss.gov.pt/documentos/2026/29/00710086.pdf</v>
      </c>
    </row>
    <row r="332" spans="1:21">
      <c r="A332" s="11" t="str">
        <f t="shared" si="10"/>
        <v>2026</v>
      </c>
      <c r="B332" s="1" t="s">
        <v>1604</v>
      </c>
      <c r="C332" s="2" t="s">
        <v>1605</v>
      </c>
      <c r="D332" s="3" t="s">
        <v>271</v>
      </c>
      <c r="E332" s="3">
        <v>93</v>
      </c>
      <c r="F332" s="4" t="s">
        <v>1573</v>
      </c>
      <c r="G332" s="5">
        <v>46242</v>
      </c>
      <c r="H332" s="5">
        <v>46244</v>
      </c>
      <c r="I332" s="6"/>
      <c r="J332" s="7"/>
      <c r="K332" s="6">
        <v>26724</v>
      </c>
      <c r="N332" s="3" t="s">
        <v>1606</v>
      </c>
      <c r="Q332" t="s">
        <v>1607</v>
      </c>
      <c r="R332" t="s">
        <v>1608</v>
      </c>
      <c r="S332" s="8">
        <v>870123</v>
      </c>
      <c r="T332" s="10" t="str">
        <f t="shared" si="11"/>
        <v>00870123.pdf</v>
      </c>
      <c r="U332" s="9" t="str">
        <f>HYPERLINK(CONCATENATE("https://bte.dgcp.mtsss.gov.pt/documentos/",A332,"/",F332,"/",T332))</f>
        <v>https://bte.dgcp.mtsss.gov.pt/documentos/2026/29/00870123.pdf</v>
      </c>
    </row>
    <row r="333" spans="1:21">
      <c r="A333" s="11" t="str">
        <f t="shared" si="10"/>
        <v>2026</v>
      </c>
      <c r="B333" s="1" t="s">
        <v>1609</v>
      </c>
      <c r="C333" s="2" t="s">
        <v>1610</v>
      </c>
      <c r="D333" s="3" t="s">
        <v>294</v>
      </c>
      <c r="E333" s="3">
        <v>93</v>
      </c>
      <c r="F333" s="4" t="s">
        <v>1573</v>
      </c>
      <c r="G333" s="5">
        <v>46242</v>
      </c>
      <c r="H333" s="5">
        <v>46244</v>
      </c>
      <c r="I333" s="6"/>
      <c r="J333" s="7"/>
      <c r="K333" s="6">
        <v>47248</v>
      </c>
      <c r="N333" s="3" t="s">
        <v>1611</v>
      </c>
      <c r="Q333" t="s">
        <v>1612</v>
      </c>
      <c r="R333" t="s">
        <v>1613</v>
      </c>
      <c r="S333" s="8">
        <v>1240156</v>
      </c>
      <c r="T333" s="10" t="str">
        <f t="shared" si="11"/>
        <v>01240156.pdf</v>
      </c>
      <c r="U333" s="9" t="str">
        <f>HYPERLINK(CONCATENATE("https://bte.dgcp.mtsss.gov.pt/documentos/",A333,"/",F333,"/",T333))</f>
        <v>https://bte.dgcp.mtsss.gov.pt/documentos/2026/29/01240156.pdf</v>
      </c>
    </row>
    <row r="334" spans="1:21">
      <c r="A334" s="11" t="str">
        <f t="shared" si="10"/>
        <v>2026</v>
      </c>
      <c r="B334" s="1" t="s">
        <v>1614</v>
      </c>
      <c r="C334" s="2" t="s">
        <v>1615</v>
      </c>
      <c r="D334" s="3" t="s">
        <v>105</v>
      </c>
      <c r="E334" s="3">
        <v>93</v>
      </c>
      <c r="F334" s="4" t="s">
        <v>1573</v>
      </c>
      <c r="G334" s="5">
        <v>46242</v>
      </c>
      <c r="H334" s="5">
        <v>46244</v>
      </c>
      <c r="I334" s="6"/>
      <c r="J334" s="7"/>
      <c r="K334" s="6">
        <v>47092</v>
      </c>
      <c r="L334" t="s">
        <v>1616</v>
      </c>
      <c r="N334" s="3" t="s">
        <v>1617</v>
      </c>
      <c r="Q334" t="s">
        <v>1618</v>
      </c>
      <c r="R334" t="s">
        <v>1619</v>
      </c>
      <c r="S334" s="8">
        <v>1570159</v>
      </c>
      <c r="T334" s="10" t="str">
        <f t="shared" si="11"/>
        <v>01570159.pdf</v>
      </c>
      <c r="U334" s="9" t="str">
        <f>HYPERLINK(CONCATENATE("https://bte.dgcp.mtsss.gov.pt/documentos/",A334,"/",F334,"/",T334))</f>
        <v>https://bte.dgcp.mtsss.gov.pt/documentos/2026/29/01570159.pdf</v>
      </c>
    </row>
    <row r="335" spans="1:21">
      <c r="A335" s="11" t="str">
        <f t="shared" si="10"/>
        <v>2026</v>
      </c>
      <c r="B335" s="1" t="s">
        <v>1620</v>
      </c>
      <c r="C335" s="2" t="s">
        <v>1621</v>
      </c>
      <c r="D335" s="3" t="s">
        <v>105</v>
      </c>
      <c r="E335" s="3">
        <v>93</v>
      </c>
      <c r="F335" s="4" t="s">
        <v>1573</v>
      </c>
      <c r="G335" s="5">
        <v>46242</v>
      </c>
      <c r="H335" s="5">
        <v>46244</v>
      </c>
      <c r="I335" s="6"/>
      <c r="J335" s="7"/>
      <c r="K335" s="6">
        <v>47093</v>
      </c>
      <c r="L335" t="s">
        <v>1622</v>
      </c>
      <c r="N335" s="3" t="s">
        <v>1623</v>
      </c>
      <c r="Q335" t="s">
        <v>1618</v>
      </c>
      <c r="R335" t="s">
        <v>1624</v>
      </c>
      <c r="S335" s="8">
        <v>1600162</v>
      </c>
      <c r="T335" s="10" t="str">
        <f t="shared" si="11"/>
        <v>01600162.pdf</v>
      </c>
      <c r="U335" s="9" t="str">
        <f>HYPERLINK(CONCATENATE("https://bte.dgcp.mtsss.gov.pt/documentos/",A335,"/",F335,"/",T335))</f>
        <v>https://bte.dgcp.mtsss.gov.pt/documentos/2026/29/01600162.pdf</v>
      </c>
    </row>
    <row r="336" spans="1:21">
      <c r="A336" s="11" t="str">
        <f t="shared" si="10"/>
        <v>2026</v>
      </c>
      <c r="B336" s="1" t="s">
        <v>1625</v>
      </c>
      <c r="C336" s="2" t="s">
        <v>1626</v>
      </c>
      <c r="D336" s="3" t="s">
        <v>105</v>
      </c>
      <c r="E336" s="3">
        <v>93</v>
      </c>
      <c r="F336" s="4" t="s">
        <v>1573</v>
      </c>
      <c r="G336" s="5">
        <v>46242</v>
      </c>
      <c r="H336" s="5">
        <v>46244</v>
      </c>
      <c r="I336" s="6"/>
      <c r="J336" s="7"/>
      <c r="K336" s="6">
        <v>47094</v>
      </c>
      <c r="L336" t="s">
        <v>1627</v>
      </c>
      <c r="N336" s="3" t="s">
        <v>1628</v>
      </c>
      <c r="Q336" t="s">
        <v>1618</v>
      </c>
      <c r="R336" t="s">
        <v>1629</v>
      </c>
      <c r="S336" s="8">
        <v>1630165</v>
      </c>
      <c r="T336" s="10" t="str">
        <f t="shared" si="11"/>
        <v>01630165.pdf</v>
      </c>
      <c r="U336" s="9" t="str">
        <f>HYPERLINK(CONCATENATE("https://bte.dgcp.mtsss.gov.pt/documentos/",A336,"/",F336,"/",T336))</f>
        <v>https://bte.dgcp.mtsss.gov.pt/documentos/2026/29/01630165.pdf</v>
      </c>
    </row>
    <row r="337" spans="1:21">
      <c r="A337" s="11" t="str">
        <f t="shared" si="10"/>
        <v>2026</v>
      </c>
      <c r="B337" s="1" t="s">
        <v>1630</v>
      </c>
      <c r="C337" s="2" t="s">
        <v>1631</v>
      </c>
      <c r="D337" s="3" t="s">
        <v>184</v>
      </c>
      <c r="E337" s="3">
        <v>93</v>
      </c>
      <c r="F337" s="4" t="s">
        <v>1573</v>
      </c>
      <c r="G337" s="5">
        <v>46242</v>
      </c>
      <c r="H337" s="5">
        <v>46244</v>
      </c>
      <c r="I337" s="6"/>
      <c r="J337" s="7"/>
      <c r="K337" s="6">
        <v>27180</v>
      </c>
      <c r="L337" t="s">
        <v>1632</v>
      </c>
      <c r="N337" s="3" t="s">
        <v>1388</v>
      </c>
      <c r="Q337" t="s">
        <v>580</v>
      </c>
      <c r="R337" t="s">
        <v>581</v>
      </c>
      <c r="S337" s="8">
        <v>1660166</v>
      </c>
      <c r="T337" s="10" t="str">
        <f t="shared" si="11"/>
        <v>01660166.pdf</v>
      </c>
      <c r="U337" s="9" t="str">
        <f>HYPERLINK(CONCATENATE("https://bte.dgcp.mtsss.gov.pt/documentos/",A337,"/",F337,"/",T337))</f>
        <v>https://bte.dgcp.mtsss.gov.pt/documentos/2026/29/01660166.pdf</v>
      </c>
    </row>
    <row r="338" spans="1:21">
      <c r="A338" s="11" t="str">
        <f t="shared" si="10"/>
        <v>2026</v>
      </c>
      <c r="B338" s="1" t="s">
        <v>1633</v>
      </c>
      <c r="C338" s="2" t="s">
        <v>1634</v>
      </c>
      <c r="D338" s="3" t="s">
        <v>184</v>
      </c>
      <c r="E338" s="3">
        <v>93</v>
      </c>
      <c r="F338" s="4" t="s">
        <v>1573</v>
      </c>
      <c r="G338" s="5">
        <v>46242</v>
      </c>
      <c r="H338" s="5">
        <v>46244</v>
      </c>
      <c r="I338" s="6"/>
      <c r="J338" s="7"/>
      <c r="K338" s="6" t="s">
        <v>1635</v>
      </c>
      <c r="L338" t="s">
        <v>1636</v>
      </c>
      <c r="N338" s="3" t="s">
        <v>1637</v>
      </c>
      <c r="Q338" t="s">
        <v>520</v>
      </c>
      <c r="R338" t="s">
        <v>1638</v>
      </c>
      <c r="S338" s="8">
        <v>1670168</v>
      </c>
      <c r="T338" s="10" t="str">
        <f t="shared" si="11"/>
        <v>01670168.pdf</v>
      </c>
      <c r="U338" s="9" t="str">
        <f>HYPERLINK(CONCATENATE("https://bte.dgcp.mtsss.gov.pt/documentos/",A338,"/",F338,"/",T338))</f>
        <v>https://bte.dgcp.mtsss.gov.pt/documentos/2026/29/01670168.pdf</v>
      </c>
    </row>
    <row r="339" spans="1:21">
      <c r="A339" s="11" t="str">
        <f t="shared" si="10"/>
        <v>2026</v>
      </c>
      <c r="B339" s="1" t="s">
        <v>1639</v>
      </c>
      <c r="C339" s="2" t="s">
        <v>1640</v>
      </c>
      <c r="D339" s="3" t="s">
        <v>99</v>
      </c>
      <c r="E339" s="3">
        <v>93</v>
      </c>
      <c r="F339" s="4" t="s">
        <v>1641</v>
      </c>
      <c r="G339" s="5">
        <v>46249</v>
      </c>
      <c r="H339" s="5">
        <v>46251</v>
      </c>
      <c r="I339" s="6"/>
      <c r="J339" s="7"/>
      <c r="K339" s="6"/>
      <c r="N339" s="3" t="s">
        <v>1642</v>
      </c>
      <c r="Q339" s="3" t="s">
        <v>193</v>
      </c>
      <c r="R339" t="s">
        <v>1643</v>
      </c>
      <c r="S339" s="8">
        <v>40018</v>
      </c>
      <c r="T339" s="10" t="str">
        <f t="shared" si="11"/>
        <v>00040018.pdf</v>
      </c>
      <c r="U339" s="9" t="str">
        <f>HYPERLINK(CONCATENATE("https://bte.dgcp.mtsss.gov.pt/documentos/",A339,"/",F339,"/",T339))</f>
        <v>https://bte.dgcp.mtsss.gov.pt/documentos/2026/30/00040018.pdf</v>
      </c>
    </row>
    <row r="340" spans="1:21">
      <c r="A340" s="11" t="str">
        <f t="shared" si="10"/>
        <v>2026</v>
      </c>
      <c r="B340" s="1" t="s">
        <v>1644</v>
      </c>
      <c r="C340" s="2" t="s">
        <v>1645</v>
      </c>
      <c r="D340" s="3" t="s">
        <v>222</v>
      </c>
      <c r="E340" s="3">
        <v>93</v>
      </c>
      <c r="F340" s="4" t="s">
        <v>1641</v>
      </c>
      <c r="G340" s="5">
        <v>46249</v>
      </c>
      <c r="H340" s="5">
        <v>46251</v>
      </c>
      <c r="I340" s="6"/>
      <c r="J340" s="7"/>
      <c r="K340" s="6"/>
      <c r="L340" t="s">
        <v>1646</v>
      </c>
      <c r="N340" s="3" t="s">
        <v>1647</v>
      </c>
      <c r="Q340" s="3" t="s">
        <v>1648</v>
      </c>
      <c r="R340" t="s">
        <v>1649</v>
      </c>
      <c r="S340" s="8">
        <v>190020</v>
      </c>
      <c r="T340" s="10" t="str">
        <f t="shared" si="11"/>
        <v>00190020.pdf</v>
      </c>
      <c r="U340" s="9" t="str">
        <f>HYPERLINK(CONCATENATE("https://bte.dgcp.mtsss.gov.pt/documentos/",A340,"/",F340,"/",T340))</f>
        <v>https://bte.dgcp.mtsss.gov.pt/documentos/2026/30/00190020.pdf</v>
      </c>
    </row>
    <row r="341" spans="1:21">
      <c r="A341" s="11" t="str">
        <f t="shared" si="10"/>
        <v>2026</v>
      </c>
      <c r="B341" s="1" t="s">
        <v>1650</v>
      </c>
      <c r="C341" s="2" t="s">
        <v>1651</v>
      </c>
      <c r="D341" s="3" t="s">
        <v>294</v>
      </c>
      <c r="E341" s="3">
        <v>93</v>
      </c>
      <c r="F341" s="4" t="s">
        <v>1641</v>
      </c>
      <c r="G341" s="5">
        <v>46249</v>
      </c>
      <c r="H341" s="5">
        <v>46251</v>
      </c>
      <c r="I341" s="6"/>
      <c r="J341" s="7"/>
      <c r="K341" s="6">
        <v>47249</v>
      </c>
      <c r="N341" s="3"/>
      <c r="Q341" t="s">
        <v>1652</v>
      </c>
      <c r="R341" t="s">
        <v>1653</v>
      </c>
      <c r="S341" s="8">
        <v>210047</v>
      </c>
      <c r="T341" s="10" t="str">
        <f t="shared" si="11"/>
        <v>00210047.pdf</v>
      </c>
      <c r="U341" s="9" t="str">
        <f>HYPERLINK(CONCATENATE("https://bte.dgcp.mtsss.gov.pt/documentos/",A341,"/",F341,"/",T341))</f>
        <v>https://bte.dgcp.mtsss.gov.pt/documentos/2026/30/00210047.pdf</v>
      </c>
    </row>
    <row r="342" spans="1:21">
      <c r="A342" s="11" t="str">
        <f t="shared" si="10"/>
        <v>2026</v>
      </c>
      <c r="B342" s="1" t="s">
        <v>1654</v>
      </c>
      <c r="C342" s="2" t="s">
        <v>1655</v>
      </c>
      <c r="D342" s="3" t="s">
        <v>294</v>
      </c>
      <c r="E342" s="3">
        <v>93</v>
      </c>
      <c r="F342" s="4" t="s">
        <v>1641</v>
      </c>
      <c r="G342" s="5">
        <v>46249</v>
      </c>
      <c r="H342" s="5">
        <v>46251</v>
      </c>
      <c r="I342" s="6"/>
      <c r="J342" s="7"/>
      <c r="K342" s="6">
        <v>47250</v>
      </c>
      <c r="N342" s="3"/>
      <c r="Q342" t="s">
        <v>1656</v>
      </c>
      <c r="R342" t="s">
        <v>1657</v>
      </c>
      <c r="S342" s="8">
        <v>480062</v>
      </c>
      <c r="T342" s="10" t="str">
        <f t="shared" si="11"/>
        <v>00480062.pdf</v>
      </c>
      <c r="U342" s="9" t="str">
        <f>HYPERLINK(CONCATENATE("https://bte.dgcp.mtsss.gov.pt/documentos/",A342,"/",F342,"/",T342))</f>
        <v>https://bte.dgcp.mtsss.gov.pt/documentos/2026/30/00480062.pdf</v>
      </c>
    </row>
    <row r="343" spans="1:21">
      <c r="A343" s="11" t="str">
        <f t="shared" si="10"/>
        <v>2026</v>
      </c>
      <c r="B343" s="1" t="s">
        <v>1658</v>
      </c>
      <c r="C343" s="2" t="s">
        <v>1659</v>
      </c>
      <c r="D343" s="3" t="s">
        <v>105</v>
      </c>
      <c r="E343" s="3">
        <v>93</v>
      </c>
      <c r="F343" s="4" t="s">
        <v>1641</v>
      </c>
      <c r="G343" s="5">
        <v>46249</v>
      </c>
      <c r="H343" s="5">
        <v>46251</v>
      </c>
      <c r="I343" s="6"/>
      <c r="J343" s="7"/>
      <c r="K343" s="6">
        <v>46814</v>
      </c>
      <c r="N343" s="3" t="s">
        <v>1660</v>
      </c>
      <c r="Q343" t="s">
        <v>1661</v>
      </c>
      <c r="R343" t="s">
        <v>1662</v>
      </c>
      <c r="S343" s="8">
        <v>630085</v>
      </c>
      <c r="T343" s="10" t="str">
        <f t="shared" si="11"/>
        <v>00630085.pdf</v>
      </c>
      <c r="U343" s="9" t="str">
        <f>HYPERLINK(CONCATENATE("https://bte.dgcp.mtsss.gov.pt/documentos/",A343,"/",F343,"/",T343))</f>
        <v>https://bte.dgcp.mtsss.gov.pt/documentos/2026/30/00630085.pdf</v>
      </c>
    </row>
    <row r="344" spans="1:21">
      <c r="A344" s="11" t="str">
        <f t="shared" si="10"/>
        <v>2026</v>
      </c>
      <c r="B344" s="1" t="s">
        <v>1663</v>
      </c>
      <c r="C344" s="2" t="s">
        <v>1664</v>
      </c>
      <c r="D344" s="3" t="s">
        <v>105</v>
      </c>
      <c r="E344" s="3">
        <v>93</v>
      </c>
      <c r="F344" s="4" t="s">
        <v>1641</v>
      </c>
      <c r="G344" s="5">
        <v>46249</v>
      </c>
      <c r="H344" s="5">
        <v>46251</v>
      </c>
      <c r="I344" s="6"/>
      <c r="J344" s="7"/>
      <c r="K344" s="6">
        <v>47184</v>
      </c>
      <c r="L344" t="s">
        <v>1665</v>
      </c>
      <c r="N344" s="3" t="s">
        <v>1666</v>
      </c>
      <c r="Q344" t="s">
        <v>1667</v>
      </c>
      <c r="R344" t="s">
        <v>1668</v>
      </c>
      <c r="S344" s="8">
        <v>860097</v>
      </c>
      <c r="T344" s="10" t="str">
        <f t="shared" si="11"/>
        <v>00860097.pdf</v>
      </c>
      <c r="U344" s="9" t="str">
        <f>HYPERLINK(CONCATENATE("https://bte.dgcp.mtsss.gov.pt/documentos/",A344,"/",F344,"/",T344))</f>
        <v>https://bte.dgcp.mtsss.gov.pt/documentos/2026/30/00860097.pdf</v>
      </c>
    </row>
    <row r="345" spans="1:21">
      <c r="A345" s="11" t="str">
        <f t="shared" si="10"/>
        <v>2026</v>
      </c>
      <c r="B345" s="1" t="s">
        <v>1669</v>
      </c>
      <c r="C345" s="2" t="s">
        <v>1670</v>
      </c>
      <c r="D345" s="3" t="s">
        <v>105</v>
      </c>
      <c r="E345" s="3">
        <v>93</v>
      </c>
      <c r="F345" s="4" t="s">
        <v>1641</v>
      </c>
      <c r="G345" s="5">
        <v>46249</v>
      </c>
      <c r="H345" s="5">
        <v>46251</v>
      </c>
      <c r="I345" s="6"/>
      <c r="J345" s="7"/>
      <c r="K345" s="6">
        <v>46803</v>
      </c>
      <c r="L345" t="s">
        <v>1671</v>
      </c>
      <c r="N345" s="3" t="s">
        <v>1672</v>
      </c>
      <c r="Q345" t="s">
        <v>1673</v>
      </c>
      <c r="R345" t="s">
        <v>1674</v>
      </c>
      <c r="S345" s="8">
        <v>980100</v>
      </c>
      <c r="T345" s="10" t="str">
        <f t="shared" si="11"/>
        <v>00980100.pdf</v>
      </c>
      <c r="U345" s="9" t="str">
        <f>HYPERLINK(CONCATENATE("https://bte.dgcp.mtsss.gov.pt/documentos/",A345,"/",F345,"/",T345))</f>
        <v>https://bte.dgcp.mtsss.gov.pt/documentos/2026/30/00980100.pdf</v>
      </c>
    </row>
    <row r="346" spans="1:21">
      <c r="A346" s="11" t="str">
        <f t="shared" si="10"/>
        <v>2026</v>
      </c>
      <c r="B346" s="1" t="s">
        <v>1675</v>
      </c>
      <c r="C346" s="2" t="s">
        <v>1676</v>
      </c>
      <c r="D346" s="3" t="s">
        <v>105</v>
      </c>
      <c r="E346" s="3">
        <v>93</v>
      </c>
      <c r="F346" s="4" t="s">
        <v>1641</v>
      </c>
      <c r="G346" s="5">
        <v>46249</v>
      </c>
      <c r="H346" s="5">
        <v>46251</v>
      </c>
      <c r="I346" s="6"/>
      <c r="J346" s="7"/>
      <c r="K346" s="6">
        <v>47019</v>
      </c>
      <c r="L346" t="s">
        <v>1677</v>
      </c>
      <c r="N346" s="3" t="s">
        <v>1678</v>
      </c>
      <c r="Q346" t="s">
        <v>1559</v>
      </c>
      <c r="R346" t="s">
        <v>1160</v>
      </c>
      <c r="S346" s="8">
        <v>1010104</v>
      </c>
      <c r="T346" s="10" t="str">
        <f t="shared" si="11"/>
        <v>01010104.pdf</v>
      </c>
      <c r="U346" s="9" t="str">
        <f>HYPERLINK(CONCATENATE("https://bte.dgcp.mtsss.gov.pt/documentos/",A346,"/",F346,"/",T346))</f>
        <v>https://bte.dgcp.mtsss.gov.pt/documentos/2026/30/01010104.pdf</v>
      </c>
    </row>
    <row r="347" spans="1:21">
      <c r="A347" s="11" t="str">
        <f t="shared" si="10"/>
        <v>2026</v>
      </c>
      <c r="B347" s="1" t="s">
        <v>1679</v>
      </c>
      <c r="C347" s="2" t="s">
        <v>1680</v>
      </c>
      <c r="D347" s="3" t="s">
        <v>184</v>
      </c>
      <c r="E347" s="3">
        <v>93</v>
      </c>
      <c r="F347" s="4" t="s">
        <v>1641</v>
      </c>
      <c r="G347" s="5">
        <v>46249</v>
      </c>
      <c r="H347" s="5">
        <v>46251</v>
      </c>
      <c r="I347" s="6"/>
      <c r="J347" s="7"/>
      <c r="K347" s="6">
        <v>47057</v>
      </c>
      <c r="L347" t="s">
        <v>1681</v>
      </c>
      <c r="N347" s="3" t="s">
        <v>1682</v>
      </c>
      <c r="Q347" t="s">
        <v>86</v>
      </c>
      <c r="R347" t="s">
        <v>1683</v>
      </c>
      <c r="S347" s="8">
        <v>1050105</v>
      </c>
      <c r="T347" s="10" t="str">
        <f t="shared" si="11"/>
        <v>01050105.pdf</v>
      </c>
      <c r="U347" s="9" t="str">
        <f>HYPERLINK(CONCATENATE("https://bte.dgcp.mtsss.gov.pt/documentos/",A347,"/",F347,"/",T347))</f>
        <v>https://bte.dgcp.mtsss.gov.pt/documentos/2026/30/01050105.pdf</v>
      </c>
    </row>
    <row r="348" spans="1:21">
      <c r="A348" s="11" t="str">
        <f t="shared" si="10"/>
        <v>2026</v>
      </c>
      <c r="B348" s="1" t="s">
        <v>1684</v>
      </c>
      <c r="C348" s="2" t="s">
        <v>1685</v>
      </c>
      <c r="D348" s="3" t="s">
        <v>288</v>
      </c>
      <c r="E348" s="3">
        <v>93</v>
      </c>
      <c r="F348" s="4" t="s">
        <v>1686</v>
      </c>
      <c r="G348" s="5">
        <v>46256</v>
      </c>
      <c r="H348" s="5">
        <v>46258</v>
      </c>
      <c r="I348" s="6"/>
      <c r="J348" s="7"/>
      <c r="K348" s="6">
        <v>27251</v>
      </c>
      <c r="N348" s="3" t="s">
        <v>325</v>
      </c>
      <c r="Q348" t="s">
        <v>1687</v>
      </c>
      <c r="R348" t="s">
        <v>1688</v>
      </c>
      <c r="S348" s="8">
        <v>260057</v>
      </c>
      <c r="T348" s="10" t="str">
        <f t="shared" si="11"/>
        <v>00260057.pdf</v>
      </c>
      <c r="U348" s="9" t="str">
        <f>HYPERLINK(CONCATENATE("https://bte.dgcp.mtsss.gov.pt/documentos/",A348,"/",F348,"/",T348))</f>
        <v>https://bte.dgcp.mtsss.gov.pt/documentos/2026/31/00260057.pdf</v>
      </c>
    </row>
    <row r="349" spans="1:21">
      <c r="A349" s="11" t="str">
        <f t="shared" si="10"/>
        <v>2026</v>
      </c>
      <c r="B349" s="1" t="s">
        <v>1689</v>
      </c>
      <c r="C349" s="2" t="s">
        <v>1690</v>
      </c>
      <c r="D349" s="3" t="s">
        <v>271</v>
      </c>
      <c r="E349" s="3">
        <v>93</v>
      </c>
      <c r="F349" s="4" t="s">
        <v>1686</v>
      </c>
      <c r="G349" s="5">
        <v>46256</v>
      </c>
      <c r="H349" s="5">
        <v>46258</v>
      </c>
      <c r="I349" s="6"/>
      <c r="J349" s="7"/>
      <c r="K349" s="6">
        <v>26760</v>
      </c>
      <c r="L349" t="s">
        <v>1691</v>
      </c>
      <c r="N349" s="3" t="s">
        <v>1564</v>
      </c>
      <c r="Q349" t="s">
        <v>1692</v>
      </c>
      <c r="R349" t="s">
        <v>1084</v>
      </c>
      <c r="S349" s="8">
        <v>580059</v>
      </c>
      <c r="T349" s="10" t="str">
        <f t="shared" si="11"/>
        <v>00580059.pdf</v>
      </c>
      <c r="U349" s="9" t="str">
        <f>HYPERLINK(CONCATENATE("https://bte.dgcp.mtsss.gov.pt/documentos/",A349,"/",F349,"/",T349))</f>
        <v>https://bte.dgcp.mtsss.gov.pt/documentos/2026/31/00580059.pdf</v>
      </c>
    </row>
    <row r="350" spans="1:21">
      <c r="A350" s="11" t="str">
        <f t="shared" si="10"/>
        <v>2026</v>
      </c>
      <c r="B350" s="1" t="s">
        <v>1693</v>
      </c>
      <c r="C350" s="2" t="s">
        <v>1694</v>
      </c>
      <c r="D350" s="3" t="s">
        <v>271</v>
      </c>
      <c r="E350" s="3">
        <v>93</v>
      </c>
      <c r="F350" s="4" t="s">
        <v>1686</v>
      </c>
      <c r="G350" s="5">
        <v>46256</v>
      </c>
      <c r="H350" s="5">
        <v>46258</v>
      </c>
      <c r="I350" s="6"/>
      <c r="J350" s="7"/>
      <c r="K350" s="6">
        <v>26651</v>
      </c>
      <c r="L350" t="s">
        <v>1695</v>
      </c>
      <c r="N350" s="3" t="s">
        <v>1696</v>
      </c>
      <c r="Q350" t="s">
        <v>1697</v>
      </c>
      <c r="R350" t="s">
        <v>1698</v>
      </c>
      <c r="S350" s="8">
        <v>600062</v>
      </c>
      <c r="T350" s="10" t="str">
        <f t="shared" si="11"/>
        <v>00600062.pdf</v>
      </c>
      <c r="U350" s="9" t="str">
        <f>HYPERLINK(CONCATENATE("https://bte.dgcp.mtsss.gov.pt/documentos/",A350,"/",F350,"/",T350))</f>
        <v>https://bte.dgcp.mtsss.gov.pt/documentos/2026/31/00600062.pdf</v>
      </c>
    </row>
    <row r="351" spans="1:21">
      <c r="A351" s="11" t="str">
        <f t="shared" si="10"/>
        <v>2026</v>
      </c>
      <c r="B351" s="1" t="s">
        <v>1699</v>
      </c>
      <c r="C351" s="2" t="s">
        <v>1700</v>
      </c>
      <c r="D351" s="3" t="s">
        <v>271</v>
      </c>
      <c r="E351" s="3">
        <v>93</v>
      </c>
      <c r="F351" s="4" t="s">
        <v>1686</v>
      </c>
      <c r="G351" s="5">
        <v>46256</v>
      </c>
      <c r="H351" s="5">
        <v>46258</v>
      </c>
      <c r="I351" s="6"/>
      <c r="J351" s="7"/>
      <c r="K351" s="6">
        <v>26652</v>
      </c>
      <c r="L351" t="s">
        <v>1701</v>
      </c>
      <c r="N351" s="3" t="s">
        <v>1702</v>
      </c>
      <c r="Q351" t="s">
        <v>1703</v>
      </c>
      <c r="R351" t="s">
        <v>1698</v>
      </c>
      <c r="S351" s="8">
        <v>630065</v>
      </c>
      <c r="T351" s="10" t="str">
        <f t="shared" si="11"/>
        <v>00630065.pdf</v>
      </c>
      <c r="U351" s="9" t="str">
        <f>HYPERLINK(CONCATENATE("https://bte.dgcp.mtsss.gov.pt/documentos/",A351,"/",F351,"/",T351))</f>
        <v>https://bte.dgcp.mtsss.gov.pt/documentos/2026/31/00630065.pdf</v>
      </c>
    </row>
    <row r="352" spans="1:21">
      <c r="A352" s="11" t="str">
        <f t="shared" si="10"/>
        <v>2026</v>
      </c>
      <c r="B352" s="1" t="s">
        <v>1704</v>
      </c>
      <c r="C352" s="2" t="s">
        <v>1705</v>
      </c>
      <c r="D352" s="3" t="s">
        <v>271</v>
      </c>
      <c r="E352" s="3">
        <v>93</v>
      </c>
      <c r="F352" s="4" t="s">
        <v>1686</v>
      </c>
      <c r="G352" s="5">
        <v>46256</v>
      </c>
      <c r="H352" s="5">
        <v>46258</v>
      </c>
      <c r="I352" s="6"/>
      <c r="J352" s="7"/>
      <c r="K352" s="6">
        <v>26957</v>
      </c>
      <c r="N352" s="3" t="s">
        <v>1706</v>
      </c>
      <c r="Q352" t="s">
        <v>1707</v>
      </c>
      <c r="R352" t="s">
        <v>1708</v>
      </c>
      <c r="S352" s="8">
        <v>660087</v>
      </c>
      <c r="T352" s="10" t="str">
        <f t="shared" si="11"/>
        <v>00660087.pdf</v>
      </c>
      <c r="U352" s="9" t="str">
        <f>HYPERLINK(CONCATENATE("https://bte.dgcp.mtsss.gov.pt/documentos/",A352,"/",F352,"/",T352))</f>
        <v>https://bte.dgcp.mtsss.gov.pt/documentos/2026/31/00660087.pdf</v>
      </c>
    </row>
    <row r="353" spans="1:21">
      <c r="A353" s="11" t="str">
        <f t="shared" si="10"/>
        <v>2026</v>
      </c>
      <c r="B353" s="1" t="s">
        <v>1709</v>
      </c>
      <c r="C353" s="2" t="s">
        <v>1710</v>
      </c>
      <c r="D353" s="3" t="s">
        <v>294</v>
      </c>
      <c r="E353" s="3">
        <v>93</v>
      </c>
      <c r="F353" s="4" t="s">
        <v>1686</v>
      </c>
      <c r="G353" s="5">
        <v>46256</v>
      </c>
      <c r="H353" s="5">
        <v>46258</v>
      </c>
      <c r="I353" s="6"/>
      <c r="J353" s="7"/>
      <c r="K353" s="6">
        <v>47252</v>
      </c>
      <c r="N353" s="3" t="s">
        <v>1711</v>
      </c>
      <c r="Q353" t="s">
        <v>1249</v>
      </c>
      <c r="R353" t="s">
        <v>1712</v>
      </c>
      <c r="S353" s="8">
        <v>880122</v>
      </c>
      <c r="T353" s="10" t="str">
        <f t="shared" si="11"/>
        <v>00880122.pdf</v>
      </c>
      <c r="U353" s="9" t="str">
        <f>HYPERLINK(CONCATENATE("https://bte.dgcp.mtsss.gov.pt/documentos/",A353,"/",F353,"/",T353))</f>
        <v>https://bte.dgcp.mtsss.gov.pt/documentos/2026/31/00880122.pdf</v>
      </c>
    </row>
    <row r="354" spans="1:21">
      <c r="A354" s="11" t="str">
        <f t="shared" si="10"/>
        <v>2026</v>
      </c>
      <c r="B354" s="1" t="s">
        <v>1713</v>
      </c>
      <c r="C354" s="2" t="s">
        <v>1714</v>
      </c>
      <c r="D354" s="3" t="s">
        <v>294</v>
      </c>
      <c r="E354" s="3">
        <v>93</v>
      </c>
      <c r="F354" s="4" t="s">
        <v>1686</v>
      </c>
      <c r="G354" s="5">
        <v>46256</v>
      </c>
      <c r="H354" s="5">
        <v>46258</v>
      </c>
      <c r="I354" s="6"/>
      <c r="J354" s="7"/>
      <c r="K354" s="6">
        <v>47253</v>
      </c>
      <c r="N354" s="3"/>
      <c r="Q354" t="s">
        <v>1661</v>
      </c>
      <c r="R354" t="s">
        <v>1715</v>
      </c>
      <c r="S354" s="8">
        <v>1230135</v>
      </c>
      <c r="T354" s="10" t="str">
        <f t="shared" si="11"/>
        <v>01230135.pdf</v>
      </c>
      <c r="U354" s="9" t="str">
        <f>HYPERLINK(CONCATENATE("https://bte.dgcp.mtsss.gov.pt/documentos/",A354,"/",F354,"/",T354))</f>
        <v>https://bte.dgcp.mtsss.gov.pt/documentos/2026/31/01230135.pdf</v>
      </c>
    </row>
    <row r="355" spans="1:21">
      <c r="A355" s="11" t="str">
        <f t="shared" si="10"/>
        <v>2026</v>
      </c>
      <c r="B355" s="1" t="s">
        <v>1716</v>
      </c>
      <c r="C355" s="2" t="s">
        <v>1717</v>
      </c>
      <c r="D355" s="3" t="s">
        <v>105</v>
      </c>
      <c r="E355" s="3">
        <v>93</v>
      </c>
      <c r="F355" s="4" t="s">
        <v>1686</v>
      </c>
      <c r="G355" s="5">
        <v>46256</v>
      </c>
      <c r="H355" s="5">
        <v>46258</v>
      </c>
      <c r="I355" s="6"/>
      <c r="J355" s="7"/>
      <c r="K355" s="6">
        <v>47120</v>
      </c>
      <c r="L355" t="s">
        <v>1718</v>
      </c>
      <c r="N355" s="3" t="s">
        <v>1719</v>
      </c>
      <c r="Q355" t="s">
        <v>1720</v>
      </c>
      <c r="R355" t="s">
        <v>1721</v>
      </c>
      <c r="S355" s="8">
        <v>1360149</v>
      </c>
      <c r="T355" s="10" t="str">
        <f t="shared" si="11"/>
        <v>01360149.pdf</v>
      </c>
      <c r="U355" s="9" t="str">
        <f>HYPERLINK(CONCATENATE("https://bte.dgcp.mtsss.gov.pt/documentos/",A355,"/",F355,"/",T355))</f>
        <v>https://bte.dgcp.mtsss.gov.pt/documentos/2026/31/01360149.pdf</v>
      </c>
    </row>
    <row r="356" spans="1:21">
      <c r="A356" s="11" t="str">
        <f t="shared" si="10"/>
        <v>2026</v>
      </c>
      <c r="B356" s="1" t="s">
        <v>1722</v>
      </c>
      <c r="C356" s="2" t="s">
        <v>1723</v>
      </c>
      <c r="D356" s="3" t="s">
        <v>105</v>
      </c>
      <c r="E356" s="3">
        <v>93</v>
      </c>
      <c r="F356" s="4" t="s">
        <v>1686</v>
      </c>
      <c r="G356" s="5">
        <v>46256</v>
      </c>
      <c r="H356" s="5">
        <v>46258</v>
      </c>
      <c r="I356" s="6"/>
      <c r="J356" s="7"/>
      <c r="K356" s="6">
        <v>47140</v>
      </c>
      <c r="L356" t="s">
        <v>1724</v>
      </c>
      <c r="N356" s="3" t="s">
        <v>1725</v>
      </c>
      <c r="Q356" t="s">
        <v>1726</v>
      </c>
      <c r="R356" t="s">
        <v>1727</v>
      </c>
      <c r="S356" s="8">
        <v>1500163</v>
      </c>
      <c r="T356" s="10" t="str">
        <f t="shared" si="11"/>
        <v>01500163.pdf</v>
      </c>
      <c r="U356" s="9" t="str">
        <f>HYPERLINK(CONCATENATE("https://bte.dgcp.mtsss.gov.pt/documentos/",A356,"/",F356,"/",T356))</f>
        <v>https://bte.dgcp.mtsss.gov.pt/documentos/2026/31/01500163.pdf</v>
      </c>
    </row>
    <row r="357" spans="1:21">
      <c r="A357" s="11" t="str">
        <f t="shared" si="10"/>
        <v>2026</v>
      </c>
      <c r="B357" s="1" t="s">
        <v>1728</v>
      </c>
      <c r="C357" s="2" t="s">
        <v>1729</v>
      </c>
      <c r="D357" s="3" t="s">
        <v>105</v>
      </c>
      <c r="E357" s="3">
        <v>93</v>
      </c>
      <c r="F357" s="4" t="s">
        <v>1686</v>
      </c>
      <c r="G357" s="5">
        <v>46256</v>
      </c>
      <c r="H357" s="5">
        <v>46258</v>
      </c>
      <c r="I357" s="6"/>
      <c r="J357" s="7"/>
      <c r="K357" s="6">
        <v>46771</v>
      </c>
      <c r="L357" t="s">
        <v>1730</v>
      </c>
      <c r="N357" s="3" t="s">
        <v>1731</v>
      </c>
      <c r="Q357" t="s">
        <v>1732</v>
      </c>
      <c r="R357" t="s">
        <v>1733</v>
      </c>
      <c r="S357" s="8">
        <v>1640167</v>
      </c>
      <c r="T357" s="10" t="str">
        <f t="shared" si="11"/>
        <v>01640167.pdf</v>
      </c>
      <c r="U357" s="9" t="str">
        <f>HYPERLINK(CONCATENATE("https://bte.dgcp.mtsss.gov.pt/documentos/",A357,"/",F357,"/",T357))</f>
        <v>https://bte.dgcp.mtsss.gov.pt/documentos/2026/31/01640167.pdf</v>
      </c>
    </row>
    <row r="358" spans="1:21">
      <c r="A358" s="11" t="str">
        <f t="shared" si="10"/>
        <v>2026</v>
      </c>
      <c r="B358" s="1" t="s">
        <v>1734</v>
      </c>
      <c r="C358" s="2" t="s">
        <v>1735</v>
      </c>
      <c r="D358" s="3" t="s">
        <v>1004</v>
      </c>
      <c r="E358" s="3">
        <v>93</v>
      </c>
      <c r="F358" s="4" t="s">
        <v>1686</v>
      </c>
      <c r="G358" s="5">
        <v>46256</v>
      </c>
      <c r="H358" s="5">
        <v>46258</v>
      </c>
      <c r="I358" s="6"/>
      <c r="J358" s="7"/>
      <c r="K358" s="6">
        <v>47109</v>
      </c>
      <c r="L358" t="s">
        <v>1736</v>
      </c>
      <c r="N358" s="3" t="s">
        <v>1737</v>
      </c>
      <c r="Q358" t="s">
        <v>1738</v>
      </c>
      <c r="S358" s="8">
        <v>1680170</v>
      </c>
      <c r="T358" s="10" t="str">
        <f t="shared" si="11"/>
        <v>01680170.pdf</v>
      </c>
      <c r="U358" s="9" t="str">
        <f>HYPERLINK(CONCATENATE("https://bte.dgcp.mtsss.gov.pt/documentos/",A358,"/",F358,"/",T358))</f>
        <v>https://bte.dgcp.mtsss.gov.pt/documentos/2026/31/01680170.pdf</v>
      </c>
    </row>
    <row r="359" spans="1:21">
      <c r="A359" s="11" t="str">
        <f t="shared" si="10"/>
        <v>2026</v>
      </c>
      <c r="B359" s="1" t="s">
        <v>1739</v>
      </c>
      <c r="C359" s="2" t="s">
        <v>1740</v>
      </c>
      <c r="D359" s="3" t="s">
        <v>1004</v>
      </c>
      <c r="E359" s="3">
        <v>93</v>
      </c>
      <c r="F359" s="4" t="s">
        <v>1686</v>
      </c>
      <c r="G359" s="5">
        <v>46256</v>
      </c>
      <c r="H359" s="5">
        <v>46258</v>
      </c>
      <c r="I359" s="6"/>
      <c r="J359" s="7"/>
      <c r="K359" s="6">
        <v>47126</v>
      </c>
      <c r="L359" t="s">
        <v>1741</v>
      </c>
      <c r="N359" s="3" t="s">
        <v>1742</v>
      </c>
      <c r="Q359" t="s">
        <v>1738</v>
      </c>
      <c r="S359" s="8">
        <v>1710173</v>
      </c>
      <c r="T359" s="10" t="str">
        <f t="shared" si="11"/>
        <v>01710173.pdf</v>
      </c>
      <c r="U359" s="9" t="str">
        <f>HYPERLINK(CONCATENATE("https://bte.dgcp.mtsss.gov.pt/documentos/",A359,"/",F359,"/",T359))</f>
        <v>https://bte.dgcp.mtsss.gov.pt/documentos/2026/31/01710173.pdf</v>
      </c>
    </row>
    <row r="360" spans="1:21">
      <c r="A360" s="11" t="str">
        <f t="shared" si="10"/>
        <v>2026</v>
      </c>
      <c r="B360" s="1" t="s">
        <v>1743</v>
      </c>
      <c r="C360" s="2" t="s">
        <v>1744</v>
      </c>
      <c r="D360" s="3" t="s">
        <v>1004</v>
      </c>
      <c r="E360" s="3">
        <v>93</v>
      </c>
      <c r="F360" s="4" t="s">
        <v>1686</v>
      </c>
      <c r="G360" s="5">
        <v>46256</v>
      </c>
      <c r="H360" s="5">
        <v>46258</v>
      </c>
      <c r="I360" s="6"/>
      <c r="J360" s="7"/>
      <c r="K360" s="6">
        <v>47110</v>
      </c>
      <c r="L360" t="s">
        <v>1745</v>
      </c>
      <c r="N360" s="3" t="s">
        <v>1746</v>
      </c>
      <c r="Q360" t="s">
        <v>1738</v>
      </c>
      <c r="S360" s="8">
        <v>1740176</v>
      </c>
      <c r="T360" s="10" t="str">
        <f t="shared" si="11"/>
        <v>01740176.pdf</v>
      </c>
      <c r="U360" s="9" t="str">
        <f>HYPERLINK(CONCATENATE("https://bte.dgcp.mtsss.gov.pt/documentos/",A360,"/",F360,"/",T360))</f>
        <v>https://bte.dgcp.mtsss.gov.pt/documentos/2026/31/01740176.pdf</v>
      </c>
    </row>
    <row r="361" spans="1:21">
      <c r="A361" s="11" t="str">
        <f t="shared" si="10"/>
        <v>2026</v>
      </c>
      <c r="B361" s="1" t="s">
        <v>1747</v>
      </c>
      <c r="C361" s="2" t="s">
        <v>1748</v>
      </c>
      <c r="D361" s="3" t="s">
        <v>1004</v>
      </c>
      <c r="E361" s="3">
        <v>93</v>
      </c>
      <c r="F361" s="4" t="s">
        <v>1686</v>
      </c>
      <c r="G361" s="5">
        <v>46256</v>
      </c>
      <c r="H361" s="5">
        <v>46258</v>
      </c>
      <c r="I361" s="6"/>
      <c r="J361" s="7"/>
      <c r="K361" s="6">
        <v>47111</v>
      </c>
      <c r="L361" t="s">
        <v>1749</v>
      </c>
      <c r="N361" s="3" t="s">
        <v>1750</v>
      </c>
      <c r="Q361" t="s">
        <v>1738</v>
      </c>
      <c r="S361" s="8">
        <v>1770179</v>
      </c>
      <c r="T361" s="10" t="str">
        <f t="shared" si="11"/>
        <v>01770179.pdf</v>
      </c>
      <c r="U361" s="9" t="str">
        <f>HYPERLINK(CONCATENATE("https://bte.dgcp.mtsss.gov.pt/documentos/",A361,"/",F361,"/",T361))</f>
        <v>https://bte.dgcp.mtsss.gov.pt/documentos/2026/31/01770179.pdf</v>
      </c>
    </row>
    <row r="362" spans="1:21">
      <c r="A362" s="11" t="str">
        <f t="shared" si="10"/>
        <v>2026</v>
      </c>
      <c r="B362" s="1" t="s">
        <v>1751</v>
      </c>
      <c r="C362" s="2" t="s">
        <v>1752</v>
      </c>
      <c r="D362" s="3" t="s">
        <v>99</v>
      </c>
      <c r="E362" s="3">
        <v>93</v>
      </c>
      <c r="F362" s="4" t="s">
        <v>1753</v>
      </c>
      <c r="G362" s="5">
        <v>46263</v>
      </c>
      <c r="H362" s="5">
        <v>46265</v>
      </c>
      <c r="I362" s="6"/>
      <c r="J362" s="7"/>
      <c r="K362" s="6"/>
      <c r="N362" s="3" t="s">
        <v>1754</v>
      </c>
      <c r="Q362" s="3" t="s">
        <v>193</v>
      </c>
      <c r="R362" t="s">
        <v>1755</v>
      </c>
      <c r="S362" s="8">
        <v>40017</v>
      </c>
      <c r="T362" s="10" t="str">
        <f t="shared" si="11"/>
        <v>00040017.pdf</v>
      </c>
      <c r="U362" s="9" t="str">
        <f>HYPERLINK(CONCATENATE("https://bte.dgcp.mtsss.gov.pt/documentos/",A362,"/",F362,"/",T362))</f>
        <v>https://bte.dgcp.mtsss.gov.pt/documentos/2026/32/00040017.pdf</v>
      </c>
    </row>
    <row r="363" spans="1:21">
      <c r="A363" s="11" t="str">
        <f t="shared" si="10"/>
        <v>2026</v>
      </c>
      <c r="B363" s="1" t="s">
        <v>1756</v>
      </c>
      <c r="C363" s="2" t="s">
        <v>1757</v>
      </c>
      <c r="D363" s="3" t="s">
        <v>99</v>
      </c>
      <c r="E363" s="3">
        <v>93</v>
      </c>
      <c r="F363" s="4" t="s">
        <v>1753</v>
      </c>
      <c r="G363" s="5">
        <v>46263</v>
      </c>
      <c r="H363" s="5">
        <v>46265</v>
      </c>
      <c r="I363" s="6"/>
      <c r="J363" s="7"/>
      <c r="K363" s="6"/>
      <c r="N363" s="3"/>
      <c r="Q363" s="3" t="s">
        <v>193</v>
      </c>
      <c r="R363" t="s">
        <v>1758</v>
      </c>
      <c r="S363" s="8">
        <v>180033</v>
      </c>
      <c r="T363" s="10" t="str">
        <f t="shared" si="11"/>
        <v>00180033.pdf</v>
      </c>
      <c r="U363" s="9" t="str">
        <f>HYPERLINK(CONCATENATE("https://bte.dgcp.mtsss.gov.pt/documentos/",A363,"/",F363,"/",T363))</f>
        <v>https://bte.dgcp.mtsss.gov.pt/documentos/2026/32/00180033.pdf</v>
      </c>
    </row>
    <row r="364" spans="1:21">
      <c r="A364" s="11" t="str">
        <f t="shared" si="10"/>
        <v>2026</v>
      </c>
      <c r="B364" s="1" t="s">
        <v>1759</v>
      </c>
      <c r="C364" s="2" t="s">
        <v>1760</v>
      </c>
      <c r="D364" s="3" t="s">
        <v>288</v>
      </c>
      <c r="E364" s="3">
        <v>93</v>
      </c>
      <c r="F364" s="4" t="s">
        <v>1753</v>
      </c>
      <c r="G364" s="5">
        <v>46263</v>
      </c>
      <c r="H364" s="5">
        <v>46265</v>
      </c>
      <c r="I364" s="6"/>
      <c r="J364" s="7"/>
      <c r="K364" s="6">
        <v>27254</v>
      </c>
      <c r="N364" s="3" t="s">
        <v>1761</v>
      </c>
      <c r="Q364" t="s">
        <v>1762</v>
      </c>
      <c r="R364" t="s">
        <v>1763</v>
      </c>
      <c r="S364" s="8">
        <v>350050</v>
      </c>
      <c r="T364" s="10" t="str">
        <f t="shared" si="11"/>
        <v>00350050.pdf</v>
      </c>
      <c r="U364" s="9" t="str">
        <f>HYPERLINK(CONCATENATE("https://bte.dgcp.mtsss.gov.pt/documentos/",A364,"/",F364,"/",T364))</f>
        <v>https://bte.dgcp.mtsss.gov.pt/documentos/2026/32/00350050.pdf</v>
      </c>
    </row>
    <row r="365" spans="1:21">
      <c r="A365" s="11" t="str">
        <f t="shared" si="10"/>
        <v>2026</v>
      </c>
      <c r="B365" s="1" t="s">
        <v>1764</v>
      </c>
      <c r="C365" s="2" t="s">
        <v>1765</v>
      </c>
      <c r="D365" s="3" t="s">
        <v>271</v>
      </c>
      <c r="E365" s="3">
        <v>93</v>
      </c>
      <c r="F365" s="4" t="s">
        <v>1753</v>
      </c>
      <c r="G365" s="5">
        <v>46263</v>
      </c>
      <c r="H365" s="5">
        <v>46265</v>
      </c>
      <c r="I365" s="6"/>
      <c r="J365" s="7"/>
      <c r="K365" s="6">
        <v>26689</v>
      </c>
      <c r="L365" t="s">
        <v>1766</v>
      </c>
      <c r="N365" s="3" t="s">
        <v>838</v>
      </c>
      <c r="Q365" t="s">
        <v>1703</v>
      </c>
      <c r="R365" t="s">
        <v>1767</v>
      </c>
      <c r="S365" s="8">
        <v>510054</v>
      </c>
      <c r="T365" s="10" t="str">
        <f t="shared" si="11"/>
        <v>00510054.pdf</v>
      </c>
      <c r="U365" s="9" t="str">
        <f>HYPERLINK(CONCATENATE("https://bte.dgcp.mtsss.gov.pt/documentos/",A365,"/",F365,"/",T365))</f>
        <v>https://bte.dgcp.mtsss.gov.pt/documentos/2026/32/00510054.pdf</v>
      </c>
    </row>
    <row r="366" spans="1:21">
      <c r="A366" s="11" t="str">
        <f t="shared" si="10"/>
        <v>2026</v>
      </c>
      <c r="B366" s="1" t="s">
        <v>1768</v>
      </c>
      <c r="C366" s="2" t="s">
        <v>1769</v>
      </c>
      <c r="D366" s="3" t="s">
        <v>591</v>
      </c>
      <c r="E366" s="3">
        <v>93</v>
      </c>
      <c r="F366" s="4" t="s">
        <v>1753</v>
      </c>
      <c r="G366" s="5">
        <v>46263</v>
      </c>
      <c r="H366" s="5">
        <v>46265</v>
      </c>
      <c r="I366" s="6"/>
      <c r="J366" s="7"/>
      <c r="K366" s="6">
        <v>16136</v>
      </c>
      <c r="N366" s="3" t="s">
        <v>1770</v>
      </c>
      <c r="Q366" t="s">
        <v>1771</v>
      </c>
      <c r="R366" t="s">
        <v>1772</v>
      </c>
      <c r="S366" s="8">
        <v>550095</v>
      </c>
      <c r="T366" s="10" t="str">
        <f t="shared" si="11"/>
        <v>00550095.pdf</v>
      </c>
      <c r="U366" s="9" t="str">
        <f>HYPERLINK(CONCATENATE("https://bte.dgcp.mtsss.gov.pt/documentos/",A366,"/",F366,"/",T366))</f>
        <v>https://bte.dgcp.mtsss.gov.pt/documentos/2026/32/00550095.pdf</v>
      </c>
    </row>
    <row r="367" spans="1:21">
      <c r="A367" s="11" t="str">
        <f t="shared" si="10"/>
        <v>2026</v>
      </c>
      <c r="B367" s="1" t="s">
        <v>1773</v>
      </c>
      <c r="C367" s="2" t="s">
        <v>1774</v>
      </c>
      <c r="D367" s="3" t="s">
        <v>105</v>
      </c>
      <c r="E367" s="3">
        <v>93</v>
      </c>
      <c r="F367" s="4" t="s">
        <v>1753</v>
      </c>
      <c r="G367" s="5">
        <v>46263</v>
      </c>
      <c r="H367" s="5">
        <v>46265</v>
      </c>
      <c r="I367" s="6"/>
      <c r="J367" s="7"/>
      <c r="K367" s="6">
        <v>46818</v>
      </c>
      <c r="N367" s="3" t="s">
        <v>1775</v>
      </c>
      <c r="Q367" t="s">
        <v>1776</v>
      </c>
      <c r="R367" t="s">
        <v>1777</v>
      </c>
      <c r="S367" s="8">
        <v>960139</v>
      </c>
      <c r="T367" s="10" t="str">
        <f t="shared" si="11"/>
        <v>00960139.pdf</v>
      </c>
      <c r="U367" s="9" t="str">
        <f>HYPERLINK(CONCATENATE("https://bte.dgcp.mtsss.gov.pt/documentos/",A367,"/",F367,"/",T367))</f>
        <v>https://bte.dgcp.mtsss.gov.pt/documentos/2026/32/00960139.pdf</v>
      </c>
    </row>
    <row r="368" spans="1:21">
      <c r="A368" s="11" t="str">
        <f t="shared" si="10"/>
        <v>2026</v>
      </c>
      <c r="B368" s="1" t="s">
        <v>1778</v>
      </c>
      <c r="C368" s="2" t="s">
        <v>1779</v>
      </c>
      <c r="D368" s="3" t="s">
        <v>105</v>
      </c>
      <c r="E368" s="3">
        <v>93</v>
      </c>
      <c r="F368" s="4" t="s">
        <v>1753</v>
      </c>
      <c r="G368" s="5">
        <v>46263</v>
      </c>
      <c r="H368" s="5">
        <v>46265</v>
      </c>
      <c r="I368" s="6"/>
      <c r="J368" s="7"/>
      <c r="K368" s="6">
        <v>46785</v>
      </c>
      <c r="L368" t="s">
        <v>1780</v>
      </c>
      <c r="N368" s="3" t="s">
        <v>1781</v>
      </c>
      <c r="Q368" t="s">
        <v>1782</v>
      </c>
      <c r="R368" t="s">
        <v>1783</v>
      </c>
      <c r="S368" s="8">
        <v>1400146</v>
      </c>
      <c r="T368" s="10" t="str">
        <f t="shared" si="11"/>
        <v>01400146.pdf</v>
      </c>
      <c r="U368" s="9" t="str">
        <f>HYPERLINK(CONCATENATE("https://bte.dgcp.mtsss.gov.pt/documentos/",A368,"/",F368,"/",T368))</f>
        <v>https://bte.dgcp.mtsss.gov.pt/documentos/2026/32/01400146.pdf</v>
      </c>
    </row>
    <row r="369" spans="1:21">
      <c r="A369" s="11" t="str">
        <f t="shared" si="10"/>
        <v>2026</v>
      </c>
      <c r="B369" s="1" t="s">
        <v>1784</v>
      </c>
      <c r="C369" s="2" t="s">
        <v>209</v>
      </c>
      <c r="D369" s="3" t="s">
        <v>203</v>
      </c>
      <c r="E369" s="3">
        <v>93</v>
      </c>
      <c r="F369" s="4" t="s">
        <v>1753</v>
      </c>
      <c r="G369" s="5">
        <v>46263</v>
      </c>
      <c r="H369" s="5">
        <v>46265</v>
      </c>
      <c r="I369" s="6"/>
      <c r="J369" s="7"/>
      <c r="K369" s="6">
        <v>46995</v>
      </c>
      <c r="L369" t="s">
        <v>210</v>
      </c>
      <c r="N369" s="3" t="s">
        <v>211</v>
      </c>
      <c r="Q369" t="s">
        <v>212</v>
      </c>
      <c r="R369" t="s">
        <v>213</v>
      </c>
      <c r="S369" s="8">
        <v>1470149</v>
      </c>
      <c r="T369" s="10" t="str">
        <f t="shared" si="11"/>
        <v>01470149.pdf</v>
      </c>
      <c r="U369" s="9" t="str">
        <f>HYPERLINK(CONCATENATE("https://bte.dgcp.mtsss.gov.pt/documentos/",A369,"/",F369,"/",T369))</f>
        <v>https://bte.dgcp.mtsss.gov.pt/documentos/2026/32/01470149.pdf</v>
      </c>
    </row>
    <row r="370" spans="1:21">
      <c r="A370" s="11" t="str">
        <f t="shared" si="10"/>
        <v>2026</v>
      </c>
      <c r="B370" s="1" t="s">
        <v>1785</v>
      </c>
      <c r="C370" s="2" t="s">
        <v>1786</v>
      </c>
      <c r="D370" s="3" t="s">
        <v>23</v>
      </c>
      <c r="E370" s="3">
        <v>93</v>
      </c>
      <c r="F370" s="4" t="s">
        <v>1787</v>
      </c>
      <c r="G370" s="5">
        <v>46273</v>
      </c>
      <c r="H370" s="5">
        <v>46273</v>
      </c>
      <c r="I370" s="6"/>
      <c r="J370" s="7"/>
      <c r="K370" s="6">
        <v>27215</v>
      </c>
      <c r="L370" t="s">
        <v>1788</v>
      </c>
      <c r="N370" s="3" t="s">
        <v>1789</v>
      </c>
      <c r="Q370" t="s">
        <v>524</v>
      </c>
      <c r="S370" s="8">
        <v>40005</v>
      </c>
      <c r="T370" s="10" t="str">
        <f t="shared" si="11"/>
        <v>00040005.pdf</v>
      </c>
      <c r="U370" s="9" t="str">
        <f>HYPERLINK(CONCATENATE("https://bte.dgcp.mtsss.gov.pt/documentos/",A370,"/",F370,"/",T370))</f>
        <v>https://bte.dgcp.mtsss.gov.pt/documentos/2026/33/00040005.pdf</v>
      </c>
    </row>
    <row r="371" spans="1:21">
      <c r="A371" s="11" t="str">
        <f t="shared" si="10"/>
        <v>2026</v>
      </c>
      <c r="B371" s="1" t="s">
        <v>1790</v>
      </c>
      <c r="C371" s="2" t="s">
        <v>1791</v>
      </c>
      <c r="D371" s="3" t="s">
        <v>23</v>
      </c>
      <c r="E371" s="3">
        <v>93</v>
      </c>
      <c r="F371" s="4" t="s">
        <v>1787</v>
      </c>
      <c r="G371" s="5">
        <v>46273</v>
      </c>
      <c r="H371" s="5">
        <v>46273</v>
      </c>
      <c r="I371" s="6"/>
      <c r="J371" s="7"/>
      <c r="K371" s="6">
        <v>27216</v>
      </c>
      <c r="L371" t="s">
        <v>1792</v>
      </c>
      <c r="N371" s="3" t="s">
        <v>1793</v>
      </c>
      <c r="Q371" t="s">
        <v>42</v>
      </c>
      <c r="S371" s="8">
        <v>60007</v>
      </c>
      <c r="T371" s="10" t="str">
        <f t="shared" si="11"/>
        <v>00060007.pdf</v>
      </c>
      <c r="U371" s="9" t="str">
        <f>HYPERLINK(CONCATENATE("https://bte.dgcp.mtsss.gov.pt/documentos/",A371,"/",F371,"/",T371))</f>
        <v>https://bte.dgcp.mtsss.gov.pt/documentos/2026/33/00060007.pdf</v>
      </c>
    </row>
    <row r="372" spans="1:21">
      <c r="A372" s="11" t="str">
        <f t="shared" si="10"/>
        <v>2026</v>
      </c>
      <c r="B372" s="1" t="s">
        <v>1794</v>
      </c>
      <c r="C372" s="2" t="s">
        <v>58</v>
      </c>
      <c r="D372" s="3" t="s">
        <v>23</v>
      </c>
      <c r="E372" s="3">
        <v>93</v>
      </c>
      <c r="F372" s="4" t="s">
        <v>1787</v>
      </c>
      <c r="G372" s="5">
        <v>46273</v>
      </c>
      <c r="H372" s="5">
        <v>46273</v>
      </c>
      <c r="I372" s="6"/>
      <c r="J372" s="7"/>
      <c r="K372" s="6">
        <v>26567</v>
      </c>
      <c r="L372" t="s">
        <v>1795</v>
      </c>
      <c r="N372" s="3" t="s">
        <v>1796</v>
      </c>
      <c r="Q372" t="s">
        <v>61</v>
      </c>
      <c r="S372" s="8">
        <v>80009</v>
      </c>
      <c r="T372" s="10" t="str">
        <f t="shared" si="11"/>
        <v>00080009.pdf</v>
      </c>
      <c r="U372" s="9" t="str">
        <f>HYPERLINK(CONCATENATE("https://bte.dgcp.mtsss.gov.pt/documentos/",A372,"/",F372,"/",T372))</f>
        <v>https://bte.dgcp.mtsss.gov.pt/documentos/2026/33/00080009.pdf</v>
      </c>
    </row>
    <row r="373" spans="1:21">
      <c r="A373" s="11" t="str">
        <f t="shared" si="10"/>
        <v>2026</v>
      </c>
      <c r="B373" s="1" t="s">
        <v>1797</v>
      </c>
      <c r="C373" s="2" t="s">
        <v>1798</v>
      </c>
      <c r="D373" s="3" t="s">
        <v>23</v>
      </c>
      <c r="E373" s="3">
        <v>93</v>
      </c>
      <c r="F373" s="4" t="s">
        <v>1787</v>
      </c>
      <c r="G373" s="5">
        <v>46273</v>
      </c>
      <c r="H373" s="5">
        <v>46273</v>
      </c>
      <c r="I373" s="6"/>
      <c r="J373" s="7"/>
      <c r="K373" s="6">
        <v>16964</v>
      </c>
      <c r="L373" t="s">
        <v>1799</v>
      </c>
      <c r="N373" s="3" t="s">
        <v>1800</v>
      </c>
      <c r="Q373" t="s">
        <v>599</v>
      </c>
      <c r="S373" s="8">
        <v>100011</v>
      </c>
      <c r="T373" s="10" t="str">
        <f t="shared" si="11"/>
        <v>00100011.pdf</v>
      </c>
      <c r="U373" s="9" t="str">
        <f>HYPERLINK(CONCATENATE("https://bte.dgcp.mtsss.gov.pt/documentos/",A373,"/",F373,"/",T373))</f>
        <v>https://bte.dgcp.mtsss.gov.pt/documentos/2026/33/00100011.pdf</v>
      </c>
    </row>
    <row r="374" spans="1:21">
      <c r="A374" s="11" t="str">
        <f t="shared" si="10"/>
        <v>2026</v>
      </c>
      <c r="B374" s="1" t="s">
        <v>1801</v>
      </c>
      <c r="C374" s="2" t="s">
        <v>1802</v>
      </c>
      <c r="D374" s="3" t="s">
        <v>23</v>
      </c>
      <c r="E374" s="3">
        <v>93</v>
      </c>
      <c r="F374" s="4" t="s">
        <v>1787</v>
      </c>
      <c r="G374" s="5">
        <v>46273</v>
      </c>
      <c r="H374" s="5">
        <v>46273</v>
      </c>
      <c r="I374" s="6"/>
      <c r="J374" s="7"/>
      <c r="K374" s="6">
        <v>16669</v>
      </c>
      <c r="L374" t="s">
        <v>1803</v>
      </c>
      <c r="N374" s="3" t="s">
        <v>1804</v>
      </c>
      <c r="Q374" t="s">
        <v>599</v>
      </c>
      <c r="S374" s="8">
        <v>120013</v>
      </c>
      <c r="T374" s="10" t="str">
        <f t="shared" si="11"/>
        <v>00120013.pdf</v>
      </c>
      <c r="U374" s="9" t="str">
        <f>HYPERLINK(CONCATENATE("https://bte.dgcp.mtsss.gov.pt/documentos/",A374,"/",F374,"/",T374))</f>
        <v>https://bte.dgcp.mtsss.gov.pt/documentos/2026/33/00120013.pdf</v>
      </c>
    </row>
    <row r="375" spans="1:21">
      <c r="A375" s="11" t="str">
        <f t="shared" si="10"/>
        <v>2026</v>
      </c>
      <c r="B375" s="1" t="s">
        <v>1805</v>
      </c>
      <c r="C375" s="2" t="s">
        <v>245</v>
      </c>
      <c r="D375" s="3" t="s">
        <v>23</v>
      </c>
      <c r="E375" s="3">
        <v>93</v>
      </c>
      <c r="F375" s="4" t="s">
        <v>1787</v>
      </c>
      <c r="G375" s="5">
        <v>46273</v>
      </c>
      <c r="H375" s="5">
        <v>46273</v>
      </c>
      <c r="I375" s="6"/>
      <c r="J375" s="7"/>
      <c r="K375" s="6">
        <v>26125</v>
      </c>
      <c r="L375" t="s">
        <v>1806</v>
      </c>
      <c r="N375" s="3" t="s">
        <v>1807</v>
      </c>
      <c r="Q375" t="s">
        <v>248</v>
      </c>
      <c r="S375" s="8">
        <v>140016</v>
      </c>
      <c r="T375" s="10" t="str">
        <f t="shared" si="11"/>
        <v>00140016.pdf</v>
      </c>
      <c r="U375" s="9" t="str">
        <f>HYPERLINK(CONCATENATE("https://bte.dgcp.mtsss.gov.pt/documentos/",A375,"/",F375,"/",T375))</f>
        <v>https://bte.dgcp.mtsss.gov.pt/documentos/2026/33/00140016.pdf</v>
      </c>
    </row>
    <row r="376" spans="1:21">
      <c r="A376" s="11" t="str">
        <f t="shared" si="10"/>
        <v>2026</v>
      </c>
      <c r="B376" s="1" t="s">
        <v>1808</v>
      </c>
      <c r="C376" s="2" t="s">
        <v>1809</v>
      </c>
      <c r="D376" s="3" t="s">
        <v>23</v>
      </c>
      <c r="E376" s="3">
        <v>93</v>
      </c>
      <c r="F376" s="4" t="s">
        <v>1787</v>
      </c>
      <c r="G376" s="5">
        <v>46273</v>
      </c>
      <c r="H376" s="5">
        <v>46273</v>
      </c>
      <c r="I376" s="6"/>
      <c r="J376" s="7"/>
      <c r="K376" s="6">
        <v>27029</v>
      </c>
      <c r="L376" t="s">
        <v>1810</v>
      </c>
      <c r="N376" s="3" t="s">
        <v>1811</v>
      </c>
      <c r="Q376" t="s">
        <v>1812</v>
      </c>
      <c r="S376" s="8">
        <v>170018</v>
      </c>
      <c r="T376" s="10" t="str">
        <f t="shared" si="11"/>
        <v>00170018.pdf</v>
      </c>
      <c r="U376" s="9" t="str">
        <f>HYPERLINK(CONCATENATE("https://bte.dgcp.mtsss.gov.pt/documentos/",A376,"/",F376,"/",T376))</f>
        <v>https://bte.dgcp.mtsss.gov.pt/documentos/2026/33/00170018.pdf</v>
      </c>
    </row>
    <row r="377" spans="1:21">
      <c r="A377" s="11" t="str">
        <f t="shared" si="10"/>
        <v>2026</v>
      </c>
      <c r="B377" s="1" t="s">
        <v>1813</v>
      </c>
      <c r="C377" s="2" t="s">
        <v>1814</v>
      </c>
      <c r="D377" s="3" t="s">
        <v>23</v>
      </c>
      <c r="E377" s="3">
        <v>93</v>
      </c>
      <c r="F377" s="4" t="s">
        <v>1787</v>
      </c>
      <c r="G377" s="5">
        <v>46273</v>
      </c>
      <c r="H377" s="5">
        <v>46273</v>
      </c>
      <c r="I377" s="6"/>
      <c r="J377" s="7"/>
      <c r="K377" s="6">
        <v>17218</v>
      </c>
      <c r="L377" t="s">
        <v>1815</v>
      </c>
      <c r="N377" s="3" t="s">
        <v>1816</v>
      </c>
      <c r="Q377" t="s">
        <v>541</v>
      </c>
      <c r="S377" s="8">
        <v>190020</v>
      </c>
      <c r="T377" s="10" t="str">
        <f t="shared" si="11"/>
        <v>00190020.pdf</v>
      </c>
      <c r="U377" s="9" t="str">
        <f>HYPERLINK(CONCATENATE("https://bte.dgcp.mtsss.gov.pt/documentos/",A377,"/",F377,"/",T377))</f>
        <v>https://bte.dgcp.mtsss.gov.pt/documentos/2026/33/00190020.pdf</v>
      </c>
    </row>
    <row r="378" spans="1:21">
      <c r="A378" s="11" t="str">
        <f t="shared" si="10"/>
        <v>2026</v>
      </c>
      <c r="B378" s="1" t="s">
        <v>1817</v>
      </c>
      <c r="C378" s="2" t="s">
        <v>509</v>
      </c>
      <c r="D378" s="3" t="s">
        <v>23</v>
      </c>
      <c r="E378" s="3">
        <v>93</v>
      </c>
      <c r="F378" s="4" t="s">
        <v>1787</v>
      </c>
      <c r="G378" s="5">
        <v>46273</v>
      </c>
      <c r="H378" s="5">
        <v>46273</v>
      </c>
      <c r="I378" s="6"/>
      <c r="J378" s="7"/>
      <c r="K378" s="6">
        <v>27221</v>
      </c>
      <c r="L378" t="s">
        <v>1818</v>
      </c>
      <c r="N378" s="3" t="s">
        <v>1819</v>
      </c>
      <c r="Q378" t="s">
        <v>268</v>
      </c>
      <c r="S378" s="8">
        <v>210022</v>
      </c>
      <c r="T378" s="10" t="str">
        <f t="shared" si="11"/>
        <v>00210022.pdf</v>
      </c>
      <c r="U378" s="9" t="str">
        <f>HYPERLINK(CONCATENATE("https://bte.dgcp.mtsss.gov.pt/documentos/",A378,"/",F378,"/",T378))</f>
        <v>https://bte.dgcp.mtsss.gov.pt/documentos/2026/33/00210022.pdf</v>
      </c>
    </row>
    <row r="379" spans="1:21">
      <c r="A379" s="11" t="str">
        <f t="shared" si="10"/>
        <v>2026</v>
      </c>
      <c r="B379" s="1" t="s">
        <v>1820</v>
      </c>
      <c r="C379" s="2" t="s">
        <v>1821</v>
      </c>
      <c r="D379" s="3" t="s">
        <v>271</v>
      </c>
      <c r="E379" s="3">
        <v>93</v>
      </c>
      <c r="F379" s="4" t="s">
        <v>1787</v>
      </c>
      <c r="G379" s="5">
        <v>46273</v>
      </c>
      <c r="H379" s="5">
        <v>46273</v>
      </c>
      <c r="I379" s="6"/>
      <c r="J379" s="7"/>
      <c r="K379" s="6">
        <v>26274</v>
      </c>
      <c r="N379" s="3" t="s">
        <v>1822</v>
      </c>
      <c r="Q379" t="s">
        <v>488</v>
      </c>
      <c r="R379" t="s">
        <v>1823</v>
      </c>
      <c r="S379" s="8">
        <v>230082</v>
      </c>
      <c r="T379" s="10" t="str">
        <f t="shared" si="11"/>
        <v>00230082.pdf</v>
      </c>
      <c r="U379" s="9" t="str">
        <f>HYPERLINK(CONCATENATE("https://bte.dgcp.mtsss.gov.pt/documentos/",A379,"/",F379,"/",T379))</f>
        <v>https://bte.dgcp.mtsss.gov.pt/documentos/2026/33/00230082.pdf</v>
      </c>
    </row>
    <row r="380" spans="1:21">
      <c r="A380" s="11" t="str">
        <f t="shared" si="10"/>
        <v>2026</v>
      </c>
      <c r="B380" s="1" t="s">
        <v>1824</v>
      </c>
      <c r="C380" s="2" t="s">
        <v>1825</v>
      </c>
      <c r="D380" s="3" t="s">
        <v>271</v>
      </c>
      <c r="E380" s="3">
        <v>93</v>
      </c>
      <c r="F380" s="4" t="s">
        <v>1787</v>
      </c>
      <c r="G380" s="5">
        <v>46273</v>
      </c>
      <c r="H380" s="5">
        <v>46273</v>
      </c>
      <c r="I380" s="6"/>
      <c r="J380" s="7"/>
      <c r="K380" s="6">
        <v>27064</v>
      </c>
      <c r="L380" t="s">
        <v>1826</v>
      </c>
      <c r="N380" s="3" t="s">
        <v>810</v>
      </c>
      <c r="Q380" t="s">
        <v>1827</v>
      </c>
      <c r="R380" t="s">
        <v>1828</v>
      </c>
      <c r="S380" s="8">
        <v>830086</v>
      </c>
      <c r="T380" s="10" t="str">
        <f t="shared" si="11"/>
        <v>00830086.pdf</v>
      </c>
      <c r="U380" s="9" t="str">
        <f>HYPERLINK(CONCATENATE("https://bte.dgcp.mtsss.gov.pt/documentos/",A380,"/",F380,"/",T380))</f>
        <v>https://bte.dgcp.mtsss.gov.pt/documentos/2026/33/00830086.pdf</v>
      </c>
    </row>
    <row r="381" spans="1:21">
      <c r="A381" s="11" t="str">
        <f t="shared" si="10"/>
        <v>2026</v>
      </c>
      <c r="B381" s="1" t="s">
        <v>1829</v>
      </c>
      <c r="C381" s="2" t="s">
        <v>1830</v>
      </c>
      <c r="D381" s="3" t="s">
        <v>105</v>
      </c>
      <c r="E381" s="3">
        <v>93</v>
      </c>
      <c r="F381" s="4" t="s">
        <v>1787</v>
      </c>
      <c r="G381" s="5">
        <v>46273</v>
      </c>
      <c r="H381" s="5">
        <v>46273</v>
      </c>
      <c r="I381" s="6"/>
      <c r="J381" s="7"/>
      <c r="K381" s="6">
        <v>47107</v>
      </c>
      <c r="N381" s="3" t="s">
        <v>1831</v>
      </c>
      <c r="Q381" t="s">
        <v>696</v>
      </c>
      <c r="R381" t="s">
        <v>1832</v>
      </c>
      <c r="S381" s="8">
        <v>870139</v>
      </c>
      <c r="T381" s="10" t="str">
        <f t="shared" si="11"/>
        <v>00870139.pdf</v>
      </c>
      <c r="U381" s="9" t="str">
        <f>HYPERLINK(CONCATENATE("https://bte.dgcp.mtsss.gov.pt/documentos/",A381,"/",F381,"/",T381))</f>
        <v>https://bte.dgcp.mtsss.gov.pt/documentos/2026/33/00870139.pdf</v>
      </c>
    </row>
    <row r="382" spans="1:21">
      <c r="A382" s="11" t="str">
        <f t="shared" si="10"/>
        <v>2026</v>
      </c>
      <c r="B382" s="1" t="s">
        <v>1833</v>
      </c>
      <c r="C382" s="2" t="s">
        <v>1834</v>
      </c>
      <c r="D382" s="3" t="s">
        <v>1329</v>
      </c>
      <c r="E382" s="3">
        <v>93</v>
      </c>
      <c r="F382" s="4" t="s">
        <v>1787</v>
      </c>
      <c r="G382" s="5">
        <v>46273</v>
      </c>
      <c r="H382" s="5">
        <v>46273</v>
      </c>
      <c r="I382" s="6"/>
      <c r="J382" s="7"/>
      <c r="K382" s="6">
        <v>26933</v>
      </c>
      <c r="L382" t="s">
        <v>1835</v>
      </c>
      <c r="N382" s="3" t="s">
        <v>1836</v>
      </c>
      <c r="Q382" t="s">
        <v>146</v>
      </c>
      <c r="S382" s="8">
        <v>1400147</v>
      </c>
      <c r="T382" s="10" t="str">
        <f t="shared" si="11"/>
        <v>01400147.pdf</v>
      </c>
      <c r="U382" s="9" t="str">
        <f>HYPERLINK(CONCATENATE("https://bte.dgcp.mtsss.gov.pt/documentos/",A382,"/",F382,"/",T382))</f>
        <v>https://bte.dgcp.mtsss.gov.pt/documentos/2026/33/01400147.pdf</v>
      </c>
    </row>
    <row r="383" spans="1:21">
      <c r="A383" s="11" t="str">
        <f t="shared" si="10"/>
        <v>2026</v>
      </c>
      <c r="B383" s="1" t="s">
        <v>1837</v>
      </c>
      <c r="C383" s="2" t="s">
        <v>1838</v>
      </c>
      <c r="D383" s="3" t="s">
        <v>1004</v>
      </c>
      <c r="E383" s="3">
        <v>93</v>
      </c>
      <c r="F383" s="4" t="s">
        <v>1787</v>
      </c>
      <c r="G383" s="5">
        <v>46273</v>
      </c>
      <c r="H383" s="5">
        <v>46273</v>
      </c>
      <c r="I383" s="6"/>
      <c r="J383" s="7"/>
      <c r="K383" s="6">
        <v>46690</v>
      </c>
      <c r="L383" t="s">
        <v>1839</v>
      </c>
      <c r="N383" s="3" t="s">
        <v>1840</v>
      </c>
      <c r="Q383" t="s">
        <v>1474</v>
      </c>
      <c r="S383" s="8">
        <v>1480150</v>
      </c>
      <c r="T383" s="10" t="str">
        <f t="shared" si="11"/>
        <v>01480150.pdf</v>
      </c>
      <c r="U383" s="9" t="str">
        <f>HYPERLINK(CONCATENATE("https://bte.dgcp.mtsss.gov.pt/documentos/",A383,"/",F383,"/",T383))</f>
        <v>https://bte.dgcp.mtsss.gov.pt/documentos/2026/33/01480150.pdf</v>
      </c>
    </row>
    <row r="384" spans="1:21">
      <c r="A384" s="11" t="str">
        <f t="shared" si="10"/>
        <v>2026</v>
      </c>
      <c r="B384" s="1" t="s">
        <v>1841</v>
      </c>
      <c r="C384" s="2" t="s">
        <v>1842</v>
      </c>
      <c r="D384" s="3" t="s">
        <v>1004</v>
      </c>
      <c r="E384" s="3">
        <v>93</v>
      </c>
      <c r="F384" s="4" t="s">
        <v>1787</v>
      </c>
      <c r="G384" s="5">
        <v>46273</v>
      </c>
      <c r="H384" s="5">
        <v>46273</v>
      </c>
      <c r="I384" s="6"/>
      <c r="J384" s="7"/>
      <c r="K384" s="6">
        <v>46691</v>
      </c>
      <c r="L384" t="s">
        <v>1843</v>
      </c>
      <c r="N384" s="3" t="s">
        <v>1844</v>
      </c>
      <c r="Q384" t="s">
        <v>1474</v>
      </c>
      <c r="S384" s="8">
        <v>1510153</v>
      </c>
      <c r="T384" s="10" t="str">
        <f t="shared" si="11"/>
        <v>01510153.pdf</v>
      </c>
      <c r="U384" s="9" t="str">
        <f>HYPERLINK(CONCATENATE("https://bte.dgcp.mtsss.gov.pt/documentos/",A384,"/",F384,"/",T384))</f>
        <v>https://bte.dgcp.mtsss.gov.pt/documentos/2026/33/01510153.pdf</v>
      </c>
    </row>
    <row r="385" spans="1:21">
      <c r="A385" s="11" t="str">
        <f t="shared" si="10"/>
        <v>2026</v>
      </c>
      <c r="B385" s="1" t="s">
        <v>1845</v>
      </c>
      <c r="C385" s="2" t="s">
        <v>1846</v>
      </c>
      <c r="D385" s="3" t="s">
        <v>1004</v>
      </c>
      <c r="E385" s="3">
        <v>93</v>
      </c>
      <c r="F385" s="4" t="s">
        <v>1787</v>
      </c>
      <c r="G385" s="5">
        <v>46273</v>
      </c>
      <c r="H385" s="5">
        <v>46273</v>
      </c>
      <c r="I385" s="6"/>
      <c r="J385" s="7"/>
      <c r="K385" s="6">
        <v>46692</v>
      </c>
      <c r="L385" t="s">
        <v>1847</v>
      </c>
      <c r="N385" s="3" t="s">
        <v>1848</v>
      </c>
      <c r="Q385" t="s">
        <v>1474</v>
      </c>
      <c r="S385" s="8">
        <v>1540156</v>
      </c>
      <c r="T385" s="10" t="str">
        <f t="shared" si="11"/>
        <v>01540156.pdf</v>
      </c>
      <c r="U385" s="9" t="str">
        <f>HYPERLINK(CONCATENATE("https://bte.dgcp.mtsss.gov.pt/documentos/",A385,"/",F385,"/",T385))</f>
        <v>https://bte.dgcp.mtsss.gov.pt/documentos/2026/33/01540156.pdf</v>
      </c>
    </row>
    <row r="386" spans="1:21">
      <c r="A386" s="11" t="str">
        <f t="shared" ref="A386:A412" si="12">RIGHT(B386,4)</f>
        <v>2026</v>
      </c>
      <c r="B386" s="1" t="s">
        <v>1849</v>
      </c>
      <c r="C386" s="2" t="s">
        <v>1850</v>
      </c>
      <c r="D386" s="3" t="s">
        <v>99</v>
      </c>
      <c r="E386" s="3">
        <v>93</v>
      </c>
      <c r="F386" s="4" t="s">
        <v>1851</v>
      </c>
      <c r="G386" s="5">
        <v>46280</v>
      </c>
      <c r="H386" s="5">
        <v>46280</v>
      </c>
      <c r="I386" s="6"/>
      <c r="J386" s="7"/>
      <c r="K386" s="6"/>
      <c r="N386" s="3"/>
      <c r="Q386" t="s">
        <v>1852</v>
      </c>
      <c r="R386" t="s">
        <v>1853</v>
      </c>
      <c r="S386" s="8">
        <v>50011</v>
      </c>
      <c r="T386" s="10" t="str">
        <f t="shared" ref="T386:T412" si="13">TEXT(S386, "00000000") &amp; ".pdf"</f>
        <v>00050011.pdf</v>
      </c>
      <c r="U386" s="9" t="str">
        <f>HYPERLINK(CONCATENATE("https://bte.dgcp.mtsss.gov.pt/documentos/",A386,"/",F386,"/",T386))</f>
        <v>https://bte.dgcp.mtsss.gov.pt/documentos/2026/34/00050011.pdf</v>
      </c>
    </row>
    <row r="387" spans="1:21">
      <c r="A387" s="11" t="str">
        <f t="shared" si="12"/>
        <v>2026</v>
      </c>
      <c r="B387" s="1" t="s">
        <v>1854</v>
      </c>
      <c r="C387" s="2" t="s">
        <v>1855</v>
      </c>
      <c r="D387" s="3" t="s">
        <v>23</v>
      </c>
      <c r="E387" s="3">
        <v>93</v>
      </c>
      <c r="F387" s="4" t="s">
        <v>1851</v>
      </c>
      <c r="G387" s="5">
        <v>46280</v>
      </c>
      <c r="H387" s="5">
        <v>46280</v>
      </c>
      <c r="I387" s="6"/>
      <c r="J387" s="7"/>
      <c r="K387" s="6">
        <v>27180</v>
      </c>
      <c r="L387" t="s">
        <v>1856</v>
      </c>
      <c r="N387" s="3" t="s">
        <v>1857</v>
      </c>
      <c r="Q387" t="s">
        <v>580</v>
      </c>
      <c r="S387" s="8">
        <v>120013</v>
      </c>
      <c r="T387" s="10" t="str">
        <f t="shared" si="13"/>
        <v>00120013.pdf</v>
      </c>
      <c r="U387" s="9" t="str">
        <f>HYPERLINK(CONCATENATE("https://bte.dgcp.mtsss.gov.pt/documentos/",A387,"/",F387,"/",T387))</f>
        <v>https://bte.dgcp.mtsss.gov.pt/documentos/2026/34/00120013.pdf</v>
      </c>
    </row>
    <row r="388" spans="1:21">
      <c r="A388" s="11" t="str">
        <f t="shared" si="12"/>
        <v>2026</v>
      </c>
      <c r="B388" s="1" t="s">
        <v>1858</v>
      </c>
      <c r="C388" s="2" t="s">
        <v>22</v>
      </c>
      <c r="D388" s="3" t="s">
        <v>23</v>
      </c>
      <c r="E388" s="3">
        <v>93</v>
      </c>
      <c r="F388" s="4" t="s">
        <v>1851</v>
      </c>
      <c r="G388" s="5">
        <v>46280</v>
      </c>
      <c r="H388" s="5">
        <v>46280</v>
      </c>
      <c r="I388" s="6"/>
      <c r="J388" s="7"/>
      <c r="K388" s="6">
        <v>27224</v>
      </c>
      <c r="L388" t="s">
        <v>1859</v>
      </c>
      <c r="N388" s="3" t="s">
        <v>1860</v>
      </c>
      <c r="Q388" t="s">
        <v>27</v>
      </c>
      <c r="S388" s="8">
        <v>140015</v>
      </c>
      <c r="T388" s="10" t="str">
        <f t="shared" si="13"/>
        <v>00140015.pdf</v>
      </c>
      <c r="U388" s="9" t="str">
        <f>HYPERLINK(CONCATENATE("https://bte.dgcp.mtsss.gov.pt/documentos/",A388,"/",F388,"/",T388))</f>
        <v>https://bte.dgcp.mtsss.gov.pt/documentos/2026/34/00140015.pdf</v>
      </c>
    </row>
    <row r="389" spans="1:21">
      <c r="A389" s="11" t="str">
        <f t="shared" si="12"/>
        <v>2026</v>
      </c>
      <c r="B389" s="1" t="s">
        <v>1861</v>
      </c>
      <c r="C389" s="2" t="s">
        <v>1862</v>
      </c>
      <c r="D389" s="3" t="s">
        <v>23</v>
      </c>
      <c r="E389" s="3">
        <v>93</v>
      </c>
      <c r="F389" s="4" t="s">
        <v>1851</v>
      </c>
      <c r="G389" s="5">
        <v>46280</v>
      </c>
      <c r="H389" s="5">
        <v>46280</v>
      </c>
      <c r="I389" s="6"/>
      <c r="J389" s="7"/>
      <c r="K389" s="6">
        <v>26107</v>
      </c>
      <c r="L389" t="s">
        <v>1863</v>
      </c>
      <c r="N389" s="3" t="s">
        <v>1864</v>
      </c>
      <c r="Q389" t="s">
        <v>1762</v>
      </c>
      <c r="S389" s="8">
        <v>160017</v>
      </c>
      <c r="T389" s="10" t="str">
        <f t="shared" si="13"/>
        <v>00160017.pdf</v>
      </c>
      <c r="U389" s="9" t="str">
        <f>HYPERLINK(CONCATENATE("https://bte.dgcp.mtsss.gov.pt/documentos/",A389,"/",F389,"/",T389))</f>
        <v>https://bte.dgcp.mtsss.gov.pt/documentos/2026/34/00160017.pdf</v>
      </c>
    </row>
    <row r="390" spans="1:21">
      <c r="A390" s="11" t="str">
        <f t="shared" si="12"/>
        <v>2026</v>
      </c>
      <c r="B390" s="1" t="s">
        <v>1865</v>
      </c>
      <c r="C390" s="2" t="s">
        <v>1866</v>
      </c>
      <c r="D390" s="3" t="s">
        <v>23</v>
      </c>
      <c r="E390" s="3">
        <v>93</v>
      </c>
      <c r="F390" s="4" t="s">
        <v>1851</v>
      </c>
      <c r="G390" s="5">
        <v>46280</v>
      </c>
      <c r="H390" s="5">
        <v>46280</v>
      </c>
      <c r="I390" s="6"/>
      <c r="J390" s="7"/>
      <c r="K390" s="6">
        <v>17226</v>
      </c>
      <c r="L390" t="s">
        <v>1867</v>
      </c>
      <c r="N390" s="3" t="s">
        <v>1868</v>
      </c>
      <c r="Q390" t="s">
        <v>420</v>
      </c>
      <c r="S390" s="8">
        <v>180019</v>
      </c>
      <c r="T390" s="10" t="str">
        <f t="shared" si="13"/>
        <v>00180019.pdf</v>
      </c>
      <c r="U390" s="9" t="str">
        <f>HYPERLINK(CONCATENATE("https://bte.dgcp.mtsss.gov.pt/documentos/",A390,"/",F390,"/",T390))</f>
        <v>https://bte.dgcp.mtsss.gov.pt/documentos/2026/34/00180019.pdf</v>
      </c>
    </row>
    <row r="391" spans="1:21">
      <c r="A391" s="11" t="str">
        <f t="shared" si="12"/>
        <v>2026</v>
      </c>
      <c r="B391" s="1" t="s">
        <v>1869</v>
      </c>
      <c r="C391" s="2" t="s">
        <v>1870</v>
      </c>
      <c r="D391" s="3" t="s">
        <v>23</v>
      </c>
      <c r="E391" s="3">
        <v>93</v>
      </c>
      <c r="F391" s="4" t="s">
        <v>1851</v>
      </c>
      <c r="G391" s="5">
        <v>46280</v>
      </c>
      <c r="H391" s="5">
        <v>46280</v>
      </c>
      <c r="I391" s="6"/>
      <c r="J391" s="7"/>
      <c r="K391" s="6">
        <v>17217</v>
      </c>
      <c r="L391" t="s">
        <v>1871</v>
      </c>
      <c r="N391" s="3" t="s">
        <v>1872</v>
      </c>
      <c r="Q391" t="s">
        <v>420</v>
      </c>
      <c r="S391" s="8">
        <v>200021</v>
      </c>
      <c r="T391" s="10" t="str">
        <f t="shared" si="13"/>
        <v>00200021.pdf</v>
      </c>
      <c r="U391" s="9" t="str">
        <f>HYPERLINK(CONCATENATE("https://bte.dgcp.mtsss.gov.pt/documentos/",A391,"/",F391,"/",T391))</f>
        <v>https://bte.dgcp.mtsss.gov.pt/documentos/2026/34/00200021.pdf</v>
      </c>
    </row>
    <row r="392" spans="1:21">
      <c r="A392" s="11" t="str">
        <f t="shared" si="12"/>
        <v>2026</v>
      </c>
      <c r="B392" s="1" t="s">
        <v>1873</v>
      </c>
      <c r="C392" s="2" t="s">
        <v>127</v>
      </c>
      <c r="D392" s="3" t="s">
        <v>23</v>
      </c>
      <c r="E392" s="3">
        <v>93</v>
      </c>
      <c r="F392" s="4" t="s">
        <v>1851</v>
      </c>
      <c r="G392" s="5">
        <v>46280</v>
      </c>
      <c r="H392" s="5">
        <v>46280</v>
      </c>
      <c r="I392" s="6"/>
      <c r="J392" s="7"/>
      <c r="K392" s="6">
        <v>26494</v>
      </c>
      <c r="L392" t="s">
        <v>1874</v>
      </c>
      <c r="N392" s="3" t="s">
        <v>1875</v>
      </c>
      <c r="Q392" t="s">
        <v>131</v>
      </c>
      <c r="S392" s="8">
        <v>220023</v>
      </c>
      <c r="T392" s="10" t="str">
        <f t="shared" si="13"/>
        <v>00220023.pdf</v>
      </c>
      <c r="U392" s="9" t="str">
        <f>HYPERLINK(CONCATENATE("https://bte.dgcp.mtsss.gov.pt/documentos/",A392,"/",F392,"/",T392))</f>
        <v>https://bte.dgcp.mtsss.gov.pt/documentos/2026/34/00220023.pdf</v>
      </c>
    </row>
    <row r="393" spans="1:21">
      <c r="A393" s="11" t="str">
        <f t="shared" si="12"/>
        <v>2026</v>
      </c>
      <c r="B393" s="1" t="s">
        <v>1876</v>
      </c>
      <c r="C393" s="2" t="s">
        <v>422</v>
      </c>
      <c r="D393" s="3" t="s">
        <v>23</v>
      </c>
      <c r="E393" s="3">
        <v>93</v>
      </c>
      <c r="F393" s="4" t="s">
        <v>1851</v>
      </c>
      <c r="G393" s="5">
        <v>46280</v>
      </c>
      <c r="H393" s="5">
        <v>46280</v>
      </c>
      <c r="I393" s="6"/>
      <c r="J393" s="7"/>
      <c r="K393" s="6">
        <v>26262</v>
      </c>
      <c r="L393" t="s">
        <v>1877</v>
      </c>
      <c r="N393" s="3" t="s">
        <v>1878</v>
      </c>
      <c r="Q393" t="s">
        <v>218</v>
      </c>
      <c r="S393" s="8">
        <v>240025</v>
      </c>
      <c r="T393" s="10" t="str">
        <f t="shared" si="13"/>
        <v>00240025.pdf</v>
      </c>
      <c r="U393" s="9" t="str">
        <f>HYPERLINK(CONCATENATE("https://bte.dgcp.mtsss.gov.pt/documentos/",A393,"/",F393,"/",T393))</f>
        <v>https://bte.dgcp.mtsss.gov.pt/documentos/2026/34/00240025.pdf</v>
      </c>
    </row>
    <row r="394" spans="1:21">
      <c r="A394" s="11" t="str">
        <f t="shared" si="12"/>
        <v>2026</v>
      </c>
      <c r="B394" s="1" t="s">
        <v>1879</v>
      </c>
      <c r="C394" s="2" t="s">
        <v>1880</v>
      </c>
      <c r="D394" s="3" t="s">
        <v>23</v>
      </c>
      <c r="E394" s="3">
        <v>93</v>
      </c>
      <c r="F394" s="4" t="s">
        <v>1851</v>
      </c>
      <c r="G394" s="5">
        <v>46280</v>
      </c>
      <c r="H394" s="5">
        <v>46280</v>
      </c>
      <c r="I394" s="6"/>
      <c r="J394" s="7"/>
      <c r="K394" s="6">
        <v>27125</v>
      </c>
      <c r="L394" t="s">
        <v>1881</v>
      </c>
      <c r="N394" s="3" t="s">
        <v>1882</v>
      </c>
      <c r="Q394" t="s">
        <v>1883</v>
      </c>
      <c r="S394" s="8">
        <v>260027</v>
      </c>
      <c r="T394" s="10" t="str">
        <f t="shared" si="13"/>
        <v>00260027.pdf</v>
      </c>
      <c r="U394" s="9" t="str">
        <f>HYPERLINK(CONCATENATE("https://bte.dgcp.mtsss.gov.pt/documentos/",A394,"/",F394,"/",T394))</f>
        <v>https://bte.dgcp.mtsss.gov.pt/documentos/2026/34/00260027.pdf</v>
      </c>
    </row>
    <row r="395" spans="1:21">
      <c r="A395" s="11" t="str">
        <f t="shared" si="12"/>
        <v>2026</v>
      </c>
      <c r="B395" s="1" t="s">
        <v>1884</v>
      </c>
      <c r="C395" s="2" t="s">
        <v>68</v>
      </c>
      <c r="D395" s="3" t="s">
        <v>23</v>
      </c>
      <c r="E395" s="3">
        <v>93</v>
      </c>
      <c r="F395" s="4" t="s">
        <v>1851</v>
      </c>
      <c r="G395" s="5">
        <v>46280</v>
      </c>
      <c r="H395" s="5">
        <v>46280</v>
      </c>
      <c r="I395" s="6"/>
      <c r="J395" s="7"/>
      <c r="K395" s="6">
        <v>26975</v>
      </c>
      <c r="L395" t="s">
        <v>1885</v>
      </c>
      <c r="N395" s="3" t="s">
        <v>1886</v>
      </c>
      <c r="Q395" t="s">
        <v>71</v>
      </c>
      <c r="S395" s="8">
        <v>280029</v>
      </c>
      <c r="T395" s="10" t="str">
        <f t="shared" si="13"/>
        <v>00280029.pdf</v>
      </c>
      <c r="U395" s="9" t="str">
        <f>HYPERLINK(CONCATENATE("https://bte.dgcp.mtsss.gov.pt/documentos/",A395,"/",F395,"/",T395))</f>
        <v>https://bte.dgcp.mtsss.gov.pt/documentos/2026/34/00280029.pdf</v>
      </c>
    </row>
    <row r="396" spans="1:21">
      <c r="A396" s="11" t="str">
        <f t="shared" si="12"/>
        <v>2026</v>
      </c>
      <c r="B396" s="1" t="s">
        <v>1887</v>
      </c>
      <c r="C396" s="2" t="s">
        <v>1888</v>
      </c>
      <c r="D396" s="3" t="s">
        <v>23</v>
      </c>
      <c r="E396" s="3">
        <v>93</v>
      </c>
      <c r="F396" s="4" t="s">
        <v>1851</v>
      </c>
      <c r="G396" s="5">
        <v>46280</v>
      </c>
      <c r="H396" s="5">
        <v>46280</v>
      </c>
      <c r="I396" s="6"/>
      <c r="J396" s="7"/>
      <c r="K396" s="6">
        <v>16668</v>
      </c>
      <c r="L396" t="s">
        <v>1889</v>
      </c>
      <c r="N396" s="3" t="s">
        <v>1890</v>
      </c>
      <c r="Q396" t="s">
        <v>599</v>
      </c>
      <c r="S396" s="8">
        <v>300031</v>
      </c>
      <c r="T396" s="10" t="str">
        <f t="shared" si="13"/>
        <v>00300031.pdf</v>
      </c>
      <c r="U396" s="9" t="str">
        <f>HYPERLINK(CONCATENATE("https://bte.dgcp.mtsss.gov.pt/documentos/",A396,"/",F396,"/",T396))</f>
        <v>https://bte.dgcp.mtsss.gov.pt/documentos/2026/34/00300031.pdf</v>
      </c>
    </row>
    <row r="397" spans="1:21">
      <c r="A397" s="11" t="str">
        <f t="shared" si="12"/>
        <v>2026</v>
      </c>
      <c r="B397" s="1" t="s">
        <v>1891</v>
      </c>
      <c r="C397" s="2" t="s">
        <v>241</v>
      </c>
      <c r="D397" s="3" t="s">
        <v>23</v>
      </c>
      <c r="E397" s="3">
        <v>93</v>
      </c>
      <c r="F397" s="4" t="s">
        <v>1851</v>
      </c>
      <c r="G397" s="5">
        <v>46280</v>
      </c>
      <c r="H397" s="5">
        <v>46280</v>
      </c>
      <c r="I397" s="6"/>
      <c r="J397" s="7"/>
      <c r="K397" s="6">
        <v>26545</v>
      </c>
      <c r="L397" t="s">
        <v>1892</v>
      </c>
      <c r="N397" s="3" t="s">
        <v>1893</v>
      </c>
      <c r="Q397" t="s">
        <v>156</v>
      </c>
      <c r="S397" s="8">
        <v>320033</v>
      </c>
      <c r="T397" s="10" t="str">
        <f t="shared" si="13"/>
        <v>00320033.pdf</v>
      </c>
      <c r="U397" s="9" t="str">
        <f>HYPERLINK(CONCATENATE("https://bte.dgcp.mtsss.gov.pt/documentos/",A397,"/",F397,"/",T397))</f>
        <v>https://bte.dgcp.mtsss.gov.pt/documentos/2026/34/00320033.pdf</v>
      </c>
    </row>
    <row r="398" spans="1:21">
      <c r="A398" s="11" t="str">
        <f t="shared" si="12"/>
        <v>2026</v>
      </c>
      <c r="B398" s="1" t="s">
        <v>1894</v>
      </c>
      <c r="C398" s="2" t="s">
        <v>1895</v>
      </c>
      <c r="D398" s="3" t="s">
        <v>23</v>
      </c>
      <c r="E398" s="3">
        <v>93</v>
      </c>
      <c r="F398" s="4" t="s">
        <v>1851</v>
      </c>
      <c r="G398" s="5">
        <v>46280</v>
      </c>
      <c r="H398" s="5">
        <v>46280</v>
      </c>
      <c r="I398" s="6"/>
      <c r="J398" s="7"/>
      <c r="K398" s="6">
        <v>27162</v>
      </c>
      <c r="L398" t="s">
        <v>1896</v>
      </c>
      <c r="N398" s="3" t="s">
        <v>1897</v>
      </c>
      <c r="Q398" t="s">
        <v>235</v>
      </c>
      <c r="S398" s="8">
        <v>340035</v>
      </c>
      <c r="T398" s="10" t="str">
        <f t="shared" si="13"/>
        <v>00340035.pdf</v>
      </c>
      <c r="U398" s="9" t="str">
        <f>HYPERLINK(CONCATENATE("https://bte.dgcp.mtsss.gov.pt/documentos/",A398,"/",F398,"/",T398))</f>
        <v>https://bte.dgcp.mtsss.gov.pt/documentos/2026/34/00340035.pdf</v>
      </c>
    </row>
    <row r="399" spans="1:21">
      <c r="A399" s="11" t="str">
        <f t="shared" si="12"/>
        <v>2026</v>
      </c>
      <c r="B399" s="1" t="s">
        <v>1898</v>
      </c>
      <c r="C399" s="2" t="s">
        <v>78</v>
      </c>
      <c r="D399" s="3" t="s">
        <v>23</v>
      </c>
      <c r="E399" s="3">
        <v>93</v>
      </c>
      <c r="F399" s="4" t="s">
        <v>1851</v>
      </c>
      <c r="G399" s="5">
        <v>46280</v>
      </c>
      <c r="H399" s="5">
        <v>46280</v>
      </c>
      <c r="I399" s="6"/>
      <c r="J399" s="7"/>
      <c r="K399" s="6">
        <v>26321</v>
      </c>
      <c r="L399" t="s">
        <v>1899</v>
      </c>
      <c r="N399" s="3" t="s">
        <v>1900</v>
      </c>
      <c r="Q399" t="s">
        <v>81</v>
      </c>
      <c r="S399" s="8">
        <v>360037</v>
      </c>
      <c r="T399" s="10" t="str">
        <f t="shared" si="13"/>
        <v>00360037.pdf</v>
      </c>
      <c r="U399" s="9" t="str">
        <f>HYPERLINK(CONCATENATE("https://bte.dgcp.mtsss.gov.pt/documentos/",A399,"/",F399,"/",T399))</f>
        <v>https://bte.dgcp.mtsss.gov.pt/documentos/2026/34/00360037.pdf</v>
      </c>
    </row>
    <row r="400" spans="1:21">
      <c r="A400" s="11" t="str">
        <f t="shared" si="12"/>
        <v>2026</v>
      </c>
      <c r="B400" s="1" t="s">
        <v>1901</v>
      </c>
      <c r="C400" s="2" t="s">
        <v>1902</v>
      </c>
      <c r="D400" s="3" t="s">
        <v>23</v>
      </c>
      <c r="E400" s="3">
        <v>93</v>
      </c>
      <c r="F400" s="4" t="s">
        <v>1851</v>
      </c>
      <c r="G400" s="5">
        <v>46280</v>
      </c>
      <c r="H400" s="5">
        <v>46280</v>
      </c>
      <c r="I400" s="6"/>
      <c r="J400" s="7"/>
      <c r="K400" s="6">
        <v>26790</v>
      </c>
      <c r="L400" t="s">
        <v>1903</v>
      </c>
      <c r="N400" s="3" t="s">
        <v>1904</v>
      </c>
      <c r="Q400" t="s">
        <v>580</v>
      </c>
      <c r="S400" s="8">
        <v>380039</v>
      </c>
      <c r="T400" s="10" t="str">
        <f t="shared" si="13"/>
        <v>00380039.pdf</v>
      </c>
      <c r="U400" s="9" t="str">
        <f>HYPERLINK(CONCATENATE("https://bte.dgcp.mtsss.gov.pt/documentos/",A400,"/",F400,"/",T400))</f>
        <v>https://bte.dgcp.mtsss.gov.pt/documentos/2026/34/00380039.pdf</v>
      </c>
    </row>
    <row r="401" spans="1:21">
      <c r="A401" s="11" t="str">
        <f t="shared" si="12"/>
        <v>2026</v>
      </c>
      <c r="B401" s="1" t="s">
        <v>1905</v>
      </c>
      <c r="C401" s="2" t="s">
        <v>513</v>
      </c>
      <c r="D401" s="3" t="s">
        <v>23</v>
      </c>
      <c r="E401" s="3">
        <v>93</v>
      </c>
      <c r="F401" s="4" t="s">
        <v>1851</v>
      </c>
      <c r="G401" s="5">
        <v>46280</v>
      </c>
      <c r="H401" s="5">
        <v>46280</v>
      </c>
      <c r="I401" s="6"/>
      <c r="J401" s="7"/>
      <c r="K401" s="6">
        <v>27222</v>
      </c>
      <c r="L401" t="s">
        <v>1906</v>
      </c>
      <c r="N401" s="3" t="s">
        <v>1907</v>
      </c>
      <c r="Q401" t="s">
        <v>268</v>
      </c>
      <c r="S401" s="8">
        <v>400041</v>
      </c>
      <c r="T401" s="10" t="str">
        <f t="shared" si="13"/>
        <v>00400041.pdf</v>
      </c>
      <c r="U401" s="9" t="str">
        <f>HYPERLINK(CONCATENATE("https://bte.dgcp.mtsss.gov.pt/documentos/",A401,"/",F401,"/",T401))</f>
        <v>https://bte.dgcp.mtsss.gov.pt/documentos/2026/34/00400041.pdf</v>
      </c>
    </row>
    <row r="402" spans="1:21">
      <c r="A402" s="11" t="str">
        <f t="shared" si="12"/>
        <v>2026</v>
      </c>
      <c r="B402" s="1" t="s">
        <v>1908</v>
      </c>
      <c r="C402" s="2" t="s">
        <v>1909</v>
      </c>
      <c r="D402" s="3" t="s">
        <v>271</v>
      </c>
      <c r="E402" s="3">
        <v>93</v>
      </c>
      <c r="F402" s="4" t="s">
        <v>1851</v>
      </c>
      <c r="G402" s="5">
        <v>46280</v>
      </c>
      <c r="H402" s="5">
        <v>46280</v>
      </c>
      <c r="I402" s="6"/>
      <c r="J402" s="7"/>
      <c r="K402" s="6">
        <v>26980</v>
      </c>
      <c r="N402" s="3" t="s">
        <v>492</v>
      </c>
      <c r="Q402" t="s">
        <v>230</v>
      </c>
      <c r="R402" t="s">
        <v>1910</v>
      </c>
      <c r="S402" s="8">
        <v>420078</v>
      </c>
      <c r="T402" s="10" t="str">
        <f t="shared" si="13"/>
        <v>00420078.pdf</v>
      </c>
      <c r="U402" s="9" t="str">
        <f>HYPERLINK(CONCATENATE("https://bte.dgcp.mtsss.gov.pt/documentos/",A402,"/",F402,"/",T402))</f>
        <v>https://bte.dgcp.mtsss.gov.pt/documentos/2026/34/00420078.pdf</v>
      </c>
    </row>
    <row r="403" spans="1:21">
      <c r="A403" s="11" t="str">
        <f t="shared" si="12"/>
        <v>2026</v>
      </c>
      <c r="B403" s="1" t="s">
        <v>1911</v>
      </c>
      <c r="C403" s="2" t="s">
        <v>1912</v>
      </c>
      <c r="D403" s="3" t="s">
        <v>271</v>
      </c>
      <c r="E403" s="3">
        <v>93</v>
      </c>
      <c r="F403" s="4" t="s">
        <v>1851</v>
      </c>
      <c r="G403" s="5">
        <v>46280</v>
      </c>
      <c r="H403" s="5">
        <v>46280</v>
      </c>
      <c r="I403" s="6"/>
      <c r="J403" s="7"/>
      <c r="K403" s="6">
        <v>25591</v>
      </c>
      <c r="L403" t="s">
        <v>1913</v>
      </c>
      <c r="N403" s="3" t="s">
        <v>1914</v>
      </c>
      <c r="Q403" t="s">
        <v>1915</v>
      </c>
      <c r="R403" t="s">
        <v>1916</v>
      </c>
      <c r="S403" s="8">
        <v>790080</v>
      </c>
      <c r="T403" s="10" t="str">
        <f t="shared" si="13"/>
        <v>00790080.pdf</v>
      </c>
      <c r="U403" s="9" t="str">
        <f>HYPERLINK(CONCATENATE("https://bte.dgcp.mtsss.gov.pt/documentos/",A403,"/",F403,"/",T403))</f>
        <v>https://bte.dgcp.mtsss.gov.pt/documentos/2026/34/00790080.pdf</v>
      </c>
    </row>
    <row r="404" spans="1:21">
      <c r="A404" s="11" t="str">
        <f t="shared" si="12"/>
        <v>2026</v>
      </c>
      <c r="B404" s="1" t="s">
        <v>1917</v>
      </c>
      <c r="C404" s="2" t="s">
        <v>1918</v>
      </c>
      <c r="D404" s="3" t="s">
        <v>105</v>
      </c>
      <c r="E404" s="3">
        <v>93</v>
      </c>
      <c r="F404" s="4" t="s">
        <v>1851</v>
      </c>
      <c r="G404" s="5">
        <v>46280</v>
      </c>
      <c r="H404" s="5">
        <v>46280</v>
      </c>
      <c r="I404" s="6"/>
      <c r="J404" s="7"/>
      <c r="K404" s="6">
        <v>47192</v>
      </c>
      <c r="L404" t="s">
        <v>1919</v>
      </c>
      <c r="N404" s="3" t="s">
        <v>1920</v>
      </c>
      <c r="Q404" t="s">
        <v>1921</v>
      </c>
      <c r="R404" t="s">
        <v>1922</v>
      </c>
      <c r="S404" s="8">
        <v>810082</v>
      </c>
      <c r="T404" s="10" t="str">
        <f t="shared" si="13"/>
        <v>00810082.pdf</v>
      </c>
      <c r="U404" s="9" t="str">
        <f>HYPERLINK(CONCATENATE("https://bte.dgcp.mtsss.gov.pt/documentos/",A404,"/",F404,"/",T404))</f>
        <v>https://bte.dgcp.mtsss.gov.pt/documentos/2026/34/00810082.pdf</v>
      </c>
    </row>
    <row r="405" spans="1:21">
      <c r="A405" s="11" t="str">
        <f t="shared" si="12"/>
        <v>2026</v>
      </c>
      <c r="B405" s="1" t="s">
        <v>1923</v>
      </c>
      <c r="C405" s="2" t="s">
        <v>1924</v>
      </c>
      <c r="D405" s="3" t="s">
        <v>105</v>
      </c>
      <c r="E405" s="3">
        <v>93</v>
      </c>
      <c r="F405" s="4" t="s">
        <v>1851</v>
      </c>
      <c r="G405" s="5">
        <v>46280</v>
      </c>
      <c r="H405" s="5">
        <v>46280</v>
      </c>
      <c r="I405" s="6"/>
      <c r="J405" s="7"/>
      <c r="K405" s="6">
        <v>47088</v>
      </c>
      <c r="L405" t="s">
        <v>1925</v>
      </c>
      <c r="N405" s="3" t="s">
        <v>1926</v>
      </c>
      <c r="Q405" t="s">
        <v>1927</v>
      </c>
      <c r="R405" t="s">
        <v>1928</v>
      </c>
      <c r="S405" s="8">
        <v>830085</v>
      </c>
      <c r="T405" s="10" t="str">
        <f t="shared" si="13"/>
        <v>00830085.pdf</v>
      </c>
      <c r="U405" s="9" t="str">
        <f>HYPERLINK(CONCATENATE("https://bte.dgcp.mtsss.gov.pt/documentos/",A405,"/",F405,"/",T405))</f>
        <v>https://bte.dgcp.mtsss.gov.pt/documentos/2026/34/00830085.pdf</v>
      </c>
    </row>
    <row r="406" spans="1:21">
      <c r="A406" s="11" t="str">
        <f t="shared" si="12"/>
        <v>2026</v>
      </c>
      <c r="B406" s="1" t="s">
        <v>1929</v>
      </c>
      <c r="C406" s="2" t="s">
        <v>1930</v>
      </c>
      <c r="D406" s="3" t="s">
        <v>294</v>
      </c>
      <c r="E406" s="3">
        <v>93</v>
      </c>
      <c r="F406" s="4" t="s">
        <v>1931</v>
      </c>
      <c r="G406" s="5">
        <v>46287</v>
      </c>
      <c r="H406" s="5">
        <v>46287</v>
      </c>
      <c r="I406" s="6"/>
      <c r="J406" s="7"/>
      <c r="K406" s="6">
        <v>47255</v>
      </c>
      <c r="N406" s="3"/>
      <c r="Q406" t="s">
        <v>1932</v>
      </c>
      <c r="R406" t="s">
        <v>1933</v>
      </c>
      <c r="S406" s="8">
        <v>90031</v>
      </c>
      <c r="T406" s="10" t="str">
        <f t="shared" si="13"/>
        <v>00090031.pdf</v>
      </c>
      <c r="U406" s="9" t="str">
        <f>HYPERLINK(CONCATENATE("https://bte.dgcp.mtsss.gov.pt/documentos/",A406,"/",F406,"/",T406))</f>
        <v>https://bte.dgcp.mtsss.gov.pt/documentos/2026/35/00090031.pdf</v>
      </c>
    </row>
    <row r="407" spans="1:21">
      <c r="A407" s="11" t="str">
        <f t="shared" si="12"/>
        <v>2026</v>
      </c>
      <c r="B407" s="1" t="s">
        <v>1934</v>
      </c>
      <c r="C407" s="2" t="s">
        <v>1935</v>
      </c>
      <c r="D407" s="3" t="s">
        <v>105</v>
      </c>
      <c r="E407" s="3">
        <v>93</v>
      </c>
      <c r="F407" s="4" t="s">
        <v>1931</v>
      </c>
      <c r="G407" s="5">
        <v>46287</v>
      </c>
      <c r="H407" s="5">
        <v>46287</v>
      </c>
      <c r="I407" s="6"/>
      <c r="J407" s="7"/>
      <c r="K407" s="6">
        <v>45527</v>
      </c>
      <c r="N407" s="3" t="s">
        <v>1936</v>
      </c>
      <c r="Q407" t="s">
        <v>1937</v>
      </c>
      <c r="R407" t="s">
        <v>1938</v>
      </c>
      <c r="S407" s="8">
        <v>320054</v>
      </c>
      <c r="T407" s="10" t="str">
        <f t="shared" si="13"/>
        <v>00320054.pdf</v>
      </c>
      <c r="U407" s="9" t="str">
        <f>HYPERLINK(CONCATENATE("https://bte.dgcp.mtsss.gov.pt/documentos/",A407,"/",F407,"/",T407))</f>
        <v>https://bte.dgcp.mtsss.gov.pt/documentos/2026/35/00320054.pdf</v>
      </c>
    </row>
    <row r="408" spans="1:21">
      <c r="A408" s="11" t="str">
        <f t="shared" si="12"/>
        <v>2026</v>
      </c>
      <c r="B408" s="1" t="s">
        <v>1939</v>
      </c>
      <c r="C408" s="2" t="s">
        <v>1940</v>
      </c>
      <c r="D408" s="3" t="s">
        <v>99</v>
      </c>
      <c r="E408" s="3">
        <v>93</v>
      </c>
      <c r="F408" s="4" t="s">
        <v>1941</v>
      </c>
      <c r="G408" s="5">
        <v>46294</v>
      </c>
      <c r="H408" s="5">
        <v>46294</v>
      </c>
      <c r="I408" s="6"/>
      <c r="J408" s="7"/>
      <c r="K408" s="6"/>
      <c r="N408" s="3"/>
      <c r="Q408" s="3" t="s">
        <v>193</v>
      </c>
      <c r="R408" s="3" t="s">
        <v>1942</v>
      </c>
      <c r="S408" s="8">
        <v>40015</v>
      </c>
      <c r="T408" s="10" t="str">
        <f t="shared" si="13"/>
        <v>00040015.pdf</v>
      </c>
      <c r="U408" s="9" t="str">
        <f>HYPERLINK(CONCATENATE("https://bte.dgcp.mtsss.gov.pt/documentos/",A408,"/",F408,"/",T408))</f>
        <v>https://bte.dgcp.mtsss.gov.pt/documentos/2026/36/00040015.pdf</v>
      </c>
    </row>
    <row r="409" spans="1:21">
      <c r="A409" s="11" t="str">
        <f t="shared" si="12"/>
        <v>2026</v>
      </c>
      <c r="B409" s="1" t="s">
        <v>1943</v>
      </c>
      <c r="C409" s="2" t="s">
        <v>1944</v>
      </c>
      <c r="D409" s="3" t="s">
        <v>288</v>
      </c>
      <c r="E409" s="3">
        <v>93</v>
      </c>
      <c r="F409" s="4" t="s">
        <v>1941</v>
      </c>
      <c r="G409" s="5">
        <v>46294</v>
      </c>
      <c r="H409" s="5">
        <v>46294</v>
      </c>
      <c r="I409" s="6"/>
      <c r="J409" s="7"/>
      <c r="K409" s="6">
        <v>27256</v>
      </c>
      <c r="N409" s="3" t="s">
        <v>252</v>
      </c>
      <c r="Q409" s="3" t="s">
        <v>253</v>
      </c>
      <c r="R409" s="3" t="s">
        <v>1945</v>
      </c>
      <c r="S409" s="8">
        <v>160078</v>
      </c>
      <c r="T409" s="10" t="str">
        <f t="shared" si="13"/>
        <v>00160078.pdf</v>
      </c>
      <c r="U409" s="9" t="str">
        <f>HYPERLINK(CONCATENATE("https://bte.dgcp.mtsss.gov.pt/documentos/",A409,"/",F409,"/",T409))</f>
        <v>https://bte.dgcp.mtsss.gov.pt/documentos/2026/36/00160078.pdf</v>
      </c>
    </row>
    <row r="410" spans="1:21">
      <c r="A410" s="11" t="str">
        <f t="shared" si="12"/>
        <v>2026</v>
      </c>
      <c r="B410" s="1" t="s">
        <v>1946</v>
      </c>
      <c r="C410" s="2" t="s">
        <v>1947</v>
      </c>
      <c r="D410" s="3" t="s">
        <v>591</v>
      </c>
      <c r="E410" s="3">
        <v>93</v>
      </c>
      <c r="F410" s="4" t="s">
        <v>1941</v>
      </c>
      <c r="G410" s="5">
        <v>46294</v>
      </c>
      <c r="H410" s="5">
        <v>46294</v>
      </c>
      <c r="I410" s="6"/>
      <c r="J410" s="7"/>
      <c r="K410" s="6">
        <v>17171</v>
      </c>
      <c r="L410" s="3" t="s">
        <v>1274</v>
      </c>
      <c r="N410" s="3" t="s">
        <v>1948</v>
      </c>
      <c r="Q410" s="3" t="s">
        <v>1949</v>
      </c>
      <c r="R410" s="3" t="s">
        <v>1277</v>
      </c>
      <c r="S410" s="8">
        <v>790085</v>
      </c>
      <c r="T410" s="10" t="str">
        <f t="shared" si="13"/>
        <v>00790085.pdf</v>
      </c>
      <c r="U410" s="9" t="str">
        <f>HYPERLINK(CONCATENATE("https://bte.dgcp.mtsss.gov.pt/documentos/",A410,"/",F410,"/",T410))</f>
        <v>https://bte.dgcp.mtsss.gov.pt/documentos/2026/36/00790085.pdf</v>
      </c>
    </row>
    <row r="411" spans="1:21">
      <c r="A411" s="11" t="str">
        <f t="shared" si="12"/>
        <v>2026</v>
      </c>
      <c r="B411" s="1" t="s">
        <v>1950</v>
      </c>
      <c r="C411" s="2" t="s">
        <v>1951</v>
      </c>
      <c r="D411" s="3" t="s">
        <v>294</v>
      </c>
      <c r="E411" s="3">
        <v>93</v>
      </c>
      <c r="F411" s="4" t="s">
        <v>1941</v>
      </c>
      <c r="G411" s="5">
        <v>46294</v>
      </c>
      <c r="H411" s="5">
        <v>46294</v>
      </c>
      <c r="I411" s="6"/>
      <c r="J411" s="7"/>
      <c r="K411" s="6">
        <v>47257</v>
      </c>
      <c r="N411" s="3"/>
      <c r="Q411" s="3" t="s">
        <v>1952</v>
      </c>
      <c r="R411" s="3" t="s">
        <v>1953</v>
      </c>
      <c r="S411" s="8">
        <v>860113</v>
      </c>
      <c r="T411" s="10" t="str">
        <f t="shared" si="13"/>
        <v>00860113.pdf</v>
      </c>
      <c r="U411" s="9" t="str">
        <f>HYPERLINK(CONCATENATE("https://bte.dgcp.mtsss.gov.pt/documentos/",A411,"/",F411,"/",T411))</f>
        <v>https://bte.dgcp.mtsss.gov.pt/documentos/2026/36/00860113.pdf</v>
      </c>
    </row>
    <row r="412" spans="1:21">
      <c r="A412" s="11" t="str">
        <f t="shared" si="12"/>
        <v>2026</v>
      </c>
      <c r="B412" s="1" t="s">
        <v>1954</v>
      </c>
      <c r="C412" s="2" t="s">
        <v>1955</v>
      </c>
      <c r="D412" s="3" t="s">
        <v>105</v>
      </c>
      <c r="E412" s="3">
        <v>93</v>
      </c>
      <c r="F412" s="4" t="s">
        <v>1941</v>
      </c>
      <c r="G412" s="5">
        <v>46294</v>
      </c>
      <c r="H412" s="5">
        <v>46294</v>
      </c>
      <c r="I412" s="6"/>
      <c r="J412" s="7"/>
      <c r="K412" s="6">
        <v>45852</v>
      </c>
      <c r="L412" s="3" t="s">
        <v>1956</v>
      </c>
      <c r="N412" s="3" t="s">
        <v>1957</v>
      </c>
      <c r="Q412" s="3" t="s">
        <v>1958</v>
      </c>
      <c r="R412" s="3" t="s">
        <v>1959</v>
      </c>
      <c r="S412" s="8">
        <v>1140119</v>
      </c>
      <c r="T412" s="10" t="str">
        <f t="shared" si="13"/>
        <v>01140119.pdf</v>
      </c>
      <c r="U412" s="9" t="str">
        <f>HYPERLINK(CONCATENATE("https://bte.dgcp.mtsss.gov.pt/documentos/",A412,"/",F412,"/",T412))</f>
        <v>https://bte.dgcp.mtsss.gov.pt/documentos/2026/36/01140119.pdf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ons_x00e1_vel xmlns="c623e0ce-f12a-4f09-87e1-ac78cfef16b1">
      <UserInfo>
        <DisplayName/>
        <AccountId xsi:nil="true"/>
        <AccountType/>
      </UserInfo>
    </Respons_x00e1_vel>
    <lcf76f155ced4ddcb4097134ff3c332f xmlns="c623e0ce-f12a-4f09-87e1-ac78cfef16b1">
      <Terms xmlns="http://schemas.microsoft.com/office/infopath/2007/PartnerControls"/>
    </lcf76f155ced4ddcb4097134ff3c332f>
    <Tipodedocumento xmlns="c623e0ce-f12a-4f09-87e1-ac78cfef16b1" xsi:nil="true"/>
    <Observa_x00e7__x00f5_es_x002f_Coment_x00e1_rios xmlns="c623e0ce-f12a-4f09-87e1-ac78cfef16b1" xsi:nil="true"/>
    <TaxCatchAll xmlns="224f8e70-d945-4bc2-8ae3-7ee958ff7f3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1B55FAC100C2449F113C3AD3616AB1" ma:contentTypeVersion="14" ma:contentTypeDescription="Criar um novo documento." ma:contentTypeScope="" ma:versionID="bebd5941661e4f05a85ccda5110de6ec">
  <xsd:schema xmlns:xsd="http://www.w3.org/2001/XMLSchema" xmlns:xs="http://www.w3.org/2001/XMLSchema" xmlns:p="http://schemas.microsoft.com/office/2006/metadata/properties" xmlns:ns2="c623e0ce-f12a-4f09-87e1-ac78cfef16b1" xmlns:ns3="224f8e70-d945-4bc2-8ae3-7ee958ff7f34" targetNamespace="http://schemas.microsoft.com/office/2006/metadata/properties" ma:root="true" ma:fieldsID="01393504f965040d4be047dc6e4cc18a" ns2:_="" ns3:_="">
    <xsd:import namespace="c623e0ce-f12a-4f09-87e1-ac78cfef16b1"/>
    <xsd:import namespace="224f8e70-d945-4bc2-8ae3-7ee958ff7f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spons_x00e1_vel" minOccurs="0"/>
                <xsd:element ref="ns2:Tipodedocumento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Observa_x00e7__x00f5_es_x002f_Coment_x00e1_rio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23e0ce-f12a-4f09-87e1-ac78cfef1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pons_x00e1_vel" ma:index="11" nillable="true" ma:displayName="Responsável" ma:description="Pessoa responsável pela edição e manutenção do documento" ma:format="Dropdown" ma:list="UserInfo" ma:SharePointGroup="0" ma:internalName="Respons_x00e1_vel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ipodedocumento" ma:index="12" nillable="true" ma:displayName="Tipo de documento" ma:description="Tipo de documento enviado para efeitos de recrutamento" ma:format="Dropdown" ma:indexed="true" ma:internalName="Tipodedocumento">
      <xsd:simpleType>
        <xsd:union memberTypes="dms:Text">
          <xsd:simpleType>
            <xsd:restriction base="dms:Choice">
              <xsd:enumeration value="Desatualizado"/>
              <xsd:enumeration value="Versão de Trabalho"/>
              <xsd:enumeration value="Versão Final"/>
              <xsd:enumeration value="Certificado Habilitações"/>
              <xsd:enumeration value="Declaração de Vínculo"/>
              <xsd:enumeration value="Curriculum Vitae"/>
              <xsd:enumeration value="Certificado Formação"/>
            </xsd:restriction>
          </xsd:simpleType>
        </xsd:un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m" ma:readOnly="false" ma:fieldId="{5cf76f15-5ced-4ddc-b409-7134ff3c332f}" ma:taxonomyMulti="true" ma:sspId="7e059fca-019d-48b8-a0ae-cd375d06ab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Observa_x00e7__x00f5_es_x002f_Coment_x00e1_rios" ma:index="21" nillable="true" ma:displayName="Observações/Comentários" ma:format="Dropdown" ma:internalName="Observa_x00e7__x00f5_es_x002f_Coment_x00e1_rio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4f8e70-d945-4bc2-8ae3-7ee958ff7f3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7d98986-76b8-4e77-83e1-4bdb0b2e0ebf}" ma:internalName="TaxCatchAll" ma:showField="CatchAllData" ma:web="224f8e70-d945-4bc2-8ae3-7ee958ff7f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6A6D52-3574-4289-B911-24C7426408B5}"/>
</file>

<file path=customXml/itemProps2.xml><?xml version="1.0" encoding="utf-8"?>
<ds:datastoreItem xmlns:ds="http://schemas.openxmlformats.org/officeDocument/2006/customXml" ds:itemID="{772A45C4-941A-49AD-BF34-18291619081A}"/>
</file>

<file path=customXml/itemProps3.xml><?xml version="1.0" encoding="utf-8"?>
<ds:datastoreItem xmlns:ds="http://schemas.openxmlformats.org/officeDocument/2006/customXml" ds:itemID="{C6371F37-9209-4898-AC71-82139B0EF8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eSocial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Teresa Feliciano</dc:creator>
  <cp:keywords/>
  <dc:description/>
  <cp:lastModifiedBy>António Manuel Fula</cp:lastModifiedBy>
  <cp:revision/>
  <dcterms:created xsi:type="dcterms:W3CDTF">2026-08-27T15:06:36Z</dcterms:created>
  <dcterms:modified xsi:type="dcterms:W3CDTF">2026-10-13T08:41:52Z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0x010100931B55FAC100C2449F113C3AD3616AB1</vt:lpwstr>
  </property>
  <property fmtid="{D5CDD505-2E9C-101B-9397-08002B2CF9AE}" pid="3" name="MediaServiceImageTags">
    <vt:lpwstr/>
  </property>
</Properties>
</file>